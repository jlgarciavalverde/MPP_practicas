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hidePivotFieldList="1"/>
  <xr:revisionPtr revIDLastSave="0" documentId="8_{090BE715-7F89-45A6-ADC3-0234D49DA0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pivotCaches>
    <pivotCache cacheId="157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3" i="1" l="1"/>
  <c r="F332" i="1"/>
  <c r="F331" i="1"/>
  <c r="F330" i="1"/>
  <c r="E333" i="1"/>
  <c r="E332" i="1"/>
  <c r="E331" i="1"/>
  <c r="E330" i="1"/>
  <c r="C325" i="1"/>
  <c r="C333" i="1" s="1"/>
  <c r="C320" i="1"/>
  <c r="C332" i="1" s="1"/>
  <c r="C315" i="1"/>
  <c r="C331" i="1" s="1"/>
  <c r="C310" i="1"/>
  <c r="C330" i="1" s="1"/>
  <c r="F325" i="1"/>
  <c r="F320" i="1"/>
  <c r="F315" i="1"/>
  <c r="F310" i="1"/>
  <c r="E325" i="1"/>
  <c r="D325" i="1"/>
  <c r="D333" i="1" s="1"/>
  <c r="E320" i="1"/>
  <c r="D320" i="1"/>
  <c r="D332" i="1" s="1"/>
  <c r="E315" i="1"/>
  <c r="D315" i="1"/>
  <c r="D331" i="1" s="1"/>
  <c r="E310" i="1"/>
  <c r="D310" i="1"/>
  <c r="D330" i="1" s="1"/>
  <c r="D291" i="1"/>
  <c r="D296" i="1"/>
  <c r="H280" i="1" s="1"/>
  <c r="C296" i="1"/>
  <c r="G280" i="1" s="1"/>
  <c r="H279" i="1"/>
  <c r="C291" i="1"/>
  <c r="G279" i="1" s="1"/>
  <c r="D286" i="1"/>
  <c r="H278" i="1" s="1"/>
  <c r="C286" i="1"/>
  <c r="G278" i="1" s="1"/>
  <c r="D281" i="1"/>
  <c r="H277" i="1" s="1"/>
  <c r="C281" i="1"/>
  <c r="G277" i="1" s="1"/>
  <c r="K245" i="1"/>
  <c r="J245" i="1"/>
  <c r="I245" i="1"/>
  <c r="E260" i="1"/>
  <c r="E255" i="1"/>
  <c r="E250" i="1"/>
  <c r="E245" i="1"/>
  <c r="K249" i="1"/>
  <c r="K248" i="1"/>
  <c r="K247" i="1"/>
  <c r="K246" i="1"/>
  <c r="D260" i="1"/>
  <c r="C260" i="1"/>
  <c r="D255" i="1"/>
  <c r="C255" i="1"/>
  <c r="J249" i="1"/>
  <c r="I249" i="1"/>
  <c r="J248" i="1"/>
  <c r="I248" i="1"/>
  <c r="D250" i="1"/>
  <c r="J247" i="1" s="1"/>
  <c r="C250" i="1"/>
  <c r="I247" i="1" s="1"/>
  <c r="D245" i="1"/>
  <c r="J246" i="1" s="1"/>
  <c r="C245" i="1"/>
  <c r="I246" i="1" s="1"/>
  <c r="D230" i="1"/>
  <c r="H223" i="1" s="1"/>
  <c r="C230" i="1"/>
  <c r="G223" i="1" s="1"/>
  <c r="D225" i="1"/>
  <c r="H222" i="1" s="1"/>
  <c r="C225" i="1"/>
  <c r="G222" i="1" s="1"/>
  <c r="D220" i="1"/>
  <c r="H221" i="1" s="1"/>
  <c r="C220" i="1"/>
  <c r="G221" i="1" s="1"/>
  <c r="D215" i="1"/>
  <c r="H220" i="1" s="1"/>
  <c r="C215" i="1"/>
  <c r="G220" i="1" s="1"/>
  <c r="E154" i="1"/>
  <c r="J179" i="1" s="1"/>
  <c r="D201" i="1"/>
  <c r="K182" i="1" s="1"/>
  <c r="D195" i="1"/>
  <c r="K181" i="1" s="1"/>
  <c r="D189" i="1"/>
  <c r="K180" i="1" s="1"/>
  <c r="F201" i="1"/>
  <c r="K196" i="1" s="1"/>
  <c r="E201" i="1"/>
  <c r="K189" i="1" s="1"/>
  <c r="F195" i="1"/>
  <c r="K195" i="1" s="1"/>
  <c r="E195" i="1"/>
  <c r="K188" i="1" s="1"/>
  <c r="F189" i="1"/>
  <c r="K194" i="1" s="1"/>
  <c r="E189" i="1"/>
  <c r="K187" i="1" s="1"/>
  <c r="F183" i="1"/>
  <c r="K193" i="1" s="1"/>
  <c r="E183" i="1"/>
  <c r="K186" i="1" s="1"/>
  <c r="D183" i="1"/>
  <c r="K179" i="1" s="1"/>
  <c r="F172" i="1"/>
  <c r="J189" i="1" s="1"/>
  <c r="E172" i="1"/>
  <c r="J182" i="1" s="1"/>
  <c r="E166" i="1"/>
  <c r="J181" i="1" s="1"/>
  <c r="E160" i="1"/>
  <c r="J180" i="1" s="1"/>
  <c r="G172" i="1"/>
  <c r="J196" i="1" s="1"/>
  <c r="G166" i="1"/>
  <c r="J195" i="1" s="1"/>
  <c r="F166" i="1"/>
  <c r="J188" i="1" s="1"/>
  <c r="G160" i="1"/>
  <c r="J194" i="1" s="1"/>
  <c r="F160" i="1"/>
  <c r="J187" i="1" s="1"/>
  <c r="G154" i="1"/>
  <c r="J193" i="1" s="1"/>
  <c r="F154" i="1"/>
  <c r="J186" i="1" s="1"/>
  <c r="G126" i="1"/>
  <c r="I193" i="1" s="1"/>
  <c r="G144" i="1"/>
  <c r="I196" i="1" s="1"/>
  <c r="G138" i="1"/>
  <c r="I195" i="1" s="1"/>
  <c r="G132" i="1"/>
  <c r="I194" i="1" s="1"/>
  <c r="F144" i="1"/>
  <c r="I189" i="1" s="1"/>
  <c r="F138" i="1"/>
  <c r="I188" i="1" s="1"/>
  <c r="F132" i="1"/>
  <c r="I187" i="1" s="1"/>
  <c r="F126" i="1"/>
  <c r="I186" i="1" s="1"/>
  <c r="E126" i="1"/>
  <c r="I179" i="1" s="1"/>
  <c r="D46" i="1"/>
  <c r="E46" i="1"/>
  <c r="F46" i="1"/>
  <c r="G46" i="1"/>
  <c r="D56" i="1"/>
  <c r="E56" i="1"/>
  <c r="F56" i="1"/>
  <c r="G56" i="1"/>
  <c r="J56" i="1"/>
  <c r="K56" i="1"/>
  <c r="L56" i="1"/>
  <c r="M56" i="1"/>
  <c r="D66" i="1"/>
  <c r="E66" i="1"/>
  <c r="F66" i="1"/>
  <c r="G66" i="1"/>
  <c r="J66" i="1"/>
  <c r="K66" i="1"/>
  <c r="L66" i="1"/>
  <c r="M66" i="1"/>
  <c r="D76" i="1"/>
  <c r="E76" i="1"/>
  <c r="F76" i="1"/>
  <c r="G76" i="1"/>
  <c r="D80" i="1"/>
  <c r="E80" i="1"/>
  <c r="F80" i="1"/>
  <c r="G80" i="1"/>
  <c r="H80" i="1"/>
  <c r="H83" i="1"/>
  <c r="H82" i="1"/>
  <c r="H81" i="1"/>
  <c r="G83" i="1"/>
  <c r="G82" i="1"/>
  <c r="G81" i="1"/>
  <c r="F83" i="1"/>
  <c r="F82" i="1"/>
  <c r="F81" i="1"/>
  <c r="E83" i="1"/>
  <c r="E82" i="1"/>
  <c r="E81" i="1"/>
  <c r="D83" i="1"/>
  <c r="D82" i="1"/>
  <c r="D81" i="1"/>
  <c r="F21" i="1"/>
  <c r="E21" i="1"/>
  <c r="D21" i="1"/>
  <c r="C21" i="1"/>
  <c r="D25" i="1" s="1"/>
  <c r="F10" i="1"/>
  <c r="C28" i="1" s="1"/>
  <c r="E10" i="1"/>
  <c r="C27" i="1" s="1"/>
  <c r="D10" i="1"/>
  <c r="C26" i="1" s="1"/>
  <c r="C10" i="1"/>
  <c r="C25" i="1" s="1"/>
  <c r="D26" i="1" l="1"/>
  <c r="I180" i="1"/>
  <c r="D27" i="1"/>
  <c r="I181" i="1"/>
  <c r="D28" i="1"/>
  <c r="I182" i="1"/>
  <c r="H85" i="1"/>
  <c r="G85" i="1"/>
  <c r="F85" i="1"/>
  <c r="E85" i="1"/>
  <c r="H86" i="1"/>
  <c r="G86" i="1"/>
  <c r="F86" i="1"/>
  <c r="E86" i="1"/>
  <c r="H87" i="1"/>
  <c r="G87" i="1"/>
  <c r="F87" i="1"/>
  <c r="E87" i="1"/>
  <c r="H84" i="1"/>
  <c r="G84" i="1"/>
  <c r="F84" i="1"/>
  <c r="E84" i="1"/>
  <c r="I103" i="1" l="1"/>
  <c r="E88" i="1"/>
  <c r="C103" i="1" s="1"/>
  <c r="J103" i="1"/>
  <c r="F88" i="1"/>
  <c r="D103" i="1" s="1"/>
  <c r="K103" i="1"/>
  <c r="G88" i="1"/>
  <c r="E103" i="1" s="1"/>
  <c r="L103" i="1"/>
  <c r="H88" i="1"/>
  <c r="F103" i="1" s="1"/>
  <c r="I106" i="1"/>
  <c r="E91" i="1"/>
  <c r="C106" i="1" s="1"/>
  <c r="J106" i="1"/>
  <c r="F91" i="1"/>
  <c r="D106" i="1" s="1"/>
  <c r="K106" i="1"/>
  <c r="G91" i="1"/>
  <c r="E106" i="1" s="1"/>
  <c r="L106" i="1"/>
  <c r="H91" i="1"/>
  <c r="F106" i="1" s="1"/>
  <c r="I105" i="1"/>
  <c r="E90" i="1"/>
  <c r="C105" i="1" s="1"/>
  <c r="J105" i="1"/>
  <c r="F90" i="1"/>
  <c r="D105" i="1" s="1"/>
  <c r="K105" i="1"/>
  <c r="G90" i="1"/>
  <c r="E105" i="1" s="1"/>
  <c r="L105" i="1"/>
  <c r="H90" i="1"/>
  <c r="F105" i="1" s="1"/>
  <c r="I104" i="1"/>
  <c r="E89" i="1"/>
  <c r="C104" i="1" s="1"/>
  <c r="J104" i="1"/>
  <c r="F89" i="1"/>
  <c r="D104" i="1" s="1"/>
  <c r="K104" i="1"/>
  <c r="G89" i="1"/>
  <c r="E104" i="1" s="1"/>
  <c r="L104" i="1"/>
  <c r="H89" i="1"/>
  <c r="F104" i="1" s="1"/>
</calcChain>
</file>

<file path=xl/sharedStrings.xml><?xml version="1.0" encoding="utf-8"?>
<sst xmlns="http://schemas.openxmlformats.org/spreadsheetml/2006/main" count="415" uniqueCount="93">
  <si>
    <t>TABLA RAND CON FOR_INI</t>
  </si>
  <si>
    <t>HILOS</t>
  </si>
  <si>
    <t>EJECUCION 1</t>
  </si>
  <si>
    <t>EJECUCION 2</t>
  </si>
  <si>
    <t>EJECUCION 3</t>
  </si>
  <si>
    <t>EJECUCION 4</t>
  </si>
  <si>
    <t>MEDIA</t>
  </si>
  <si>
    <t>TABLA RAND_R CON FOR_INI</t>
  </si>
  <si>
    <t>HiLOS</t>
  </si>
  <si>
    <t>RAND</t>
  </si>
  <si>
    <t>RAND_R</t>
  </si>
  <si>
    <t>TABLA FITNESS SECUENCIAL</t>
  </si>
  <si>
    <t>TABLA FITNESS CRITICAL SIN OPTIMIZAR</t>
  </si>
  <si>
    <t>TABLA FITNESS CRITICAL OPTIMIZADO</t>
  </si>
  <si>
    <t>TABLA FITNESS ATOMIC SIN OPTIMIZAR</t>
  </si>
  <si>
    <t>TABLA FITNESS ATOMIC OPTIMIZADO</t>
  </si>
  <si>
    <t>TABLA FITNESS REDUCTION</t>
  </si>
  <si>
    <t>SECUENCIAL</t>
  </si>
  <si>
    <t>CRITICAL</t>
  </si>
  <si>
    <t>CRITICAL_O</t>
  </si>
  <si>
    <t>ATOMIC_O</t>
  </si>
  <si>
    <t>REDUCTION</t>
  </si>
  <si>
    <t>Speedup=</t>
  </si>
  <si>
    <t>Eficiencia=</t>
  </si>
  <si>
    <t>STATIC</t>
  </si>
  <si>
    <t>2 static 1</t>
  </si>
  <si>
    <t>2 static 5</t>
  </si>
  <si>
    <t>2 static 10</t>
  </si>
  <si>
    <t>DYNAMIC</t>
  </si>
  <si>
    <t>2 dynamic 1</t>
  </si>
  <si>
    <t>2 dynamic 5</t>
  </si>
  <si>
    <t>2 dynamic 10</t>
  </si>
  <si>
    <t>GUIED</t>
  </si>
  <si>
    <t>2 guied 1</t>
  </si>
  <si>
    <t>2 guied 5</t>
  </si>
  <si>
    <t>2 guied 10</t>
  </si>
  <si>
    <t>STATIC_1</t>
  </si>
  <si>
    <t>DYNAMIC_1</t>
  </si>
  <si>
    <t>GUIDED_10</t>
  </si>
  <si>
    <t>STATIC_5</t>
  </si>
  <si>
    <t>DYNAMIC_5</t>
  </si>
  <si>
    <t>GUIDED_5</t>
  </si>
  <si>
    <t>STATIC_10</t>
  </si>
  <si>
    <t>DYNAMIC_10</t>
  </si>
  <si>
    <t>CRUZAR_PARALELO</t>
  </si>
  <si>
    <t>CRUZAR_SECUENCIAL</t>
  </si>
  <si>
    <t>QSORT</t>
  </si>
  <si>
    <t>MERGESORT</t>
  </si>
  <si>
    <t>MERGESORT_TASK</t>
  </si>
  <si>
    <t>CRUZAR_PARALELO_SECTION</t>
  </si>
  <si>
    <t>CRUZAR_PARALELO_SECTIONS</t>
  </si>
  <si>
    <t>CRUZAR_PARALELO_FOR</t>
  </si>
  <si>
    <t>SIN_PARALELIZAR</t>
  </si>
  <si>
    <t>FOR_CRUZAR</t>
  </si>
  <si>
    <t>FOR_CRUZAR_MUTAR</t>
  </si>
  <si>
    <t>FOR_CRUZAR_MUTAR_FITNESS</t>
  </si>
  <si>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</si>
  <si>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</si>
  <si>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</si>
  <si>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</si>
  <si>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</si>
  <si>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</si>
  <si>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</si>
  <si>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</si>
  <si>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</si>
  <si>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</si>
  <si>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</si>
  <si>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</si>
  <si>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</si>
  <si>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</si>
  <si>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</si>
  <si>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</si>
  <si>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</si>
  <si>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</si>
  <si>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</si>
  <si>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</si>
  <si>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</si>
  <si>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</si>
  <si>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</si>
  <si>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</si>
  <si>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</si>
  <si>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</si>
  <si>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</si>
  <si>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</si>
  <si>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</si>
  <si>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</si>
  <si>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</si>
  <si>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</si>
  <si>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</si>
  <si>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</si>
  <si>
    <t>Row Labels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</si>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</sst>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€&quot;* #,##0_);_(&quot;€&quot;* \(#,##0\);_(&quot;€&quot;* &quot;-&quot;??_);_(@_)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2" fontId="0" fillId="0" borderId="0" xfId="0" applyNumberFormat="1"/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6">
    <dxf>
      <numFmt numFmtId="13" formatCode="0%"/>
    </dxf>
    <dxf>
      <numFmt numFmtId="164" formatCode="_(&quot;€&quot;* #,##0_);_(&quot;€&quot;* \(#,##0\);_(&quot;€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 vs RAND_R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Sheet1!$C$24</c:f>
              <c:strCache>
                <c:ptCount val="1"/>
                <c:pt idx="0">
                  <c:v>RAND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Sheet1!$B$25:$B$28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Sheet1!$C$25:$C$28</c:f>
              <c:numCache>
                <c:formatCode>General</c:formatCode>
                <c:ptCount val="4"/>
                <c:pt idx="0">
                  <c:v>3.6535499999999999E-2</c:v>
                </c:pt>
                <c:pt idx="1">
                  <c:v>2.3449000000000001E-2</c:v>
                </c:pt>
                <c:pt idx="2">
                  <c:v>1.8067E-2</c:v>
                </c:pt>
                <c:pt idx="3">
                  <c:v>1.5575499999999999E-2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C6-4A4A-9D34-D9F86842C1FB}"/>
            </c:ext>
          </c:extLst>
        </c:ser>
        <c:ser>
          <c:idx val="2"/>
          <c:order val="1"/>
          <c:tx>
            <c:strRef>
              <c:f>Sheet1!$D$24</c:f>
              <c:strCache>
                <c:ptCount val="1"/>
                <c:pt idx="0">
                  <c:v>RAND_R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Sheet1!$B$25:$B$28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Sheet1!$D$25:$D$28</c:f>
              <c:numCache>
                <c:formatCode>General</c:formatCode>
                <c:ptCount val="4"/>
                <c:pt idx="0">
                  <c:v>3.6174499999999998E-2</c:v>
                </c:pt>
                <c:pt idx="1">
                  <c:v>1.8588500000000001E-2</c:v>
                </c:pt>
                <c:pt idx="2">
                  <c:v>1.4409E-2</c:v>
                </c:pt>
                <c:pt idx="3">
                  <c:v>1.4349000000000001E-2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C6-4A4A-9D34-D9F86842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861255"/>
        <c:axId val="2015869447"/>
      </c:lineChart>
      <c:catAx>
        <c:axId val="2015861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869447"/>
        <c:crosses val="autoZero"/>
        <c:auto val="1"/>
        <c:lblAlgn val="ctr"/>
        <c:lblOffset val="100"/>
        <c:noMultiLvlLbl val="0"/>
      </c:catAx>
      <c:valAx>
        <c:axId val="201586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ejecucion (segs)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86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paralelización FITNESS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Sheet1!$D$79</c:f>
              <c:strCache>
                <c:ptCount val="1"/>
                <c:pt idx="0">
                  <c:v>SECUENCIAL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Sheet1!C80:C83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Sheet1!$D$80:$D$83</c:f>
              <c:numCache>
                <c:formatCode>General</c:formatCode>
                <c:ptCount val="4"/>
                <c:pt idx="0">
                  <c:v>8.4600000000000009</c:v>
                </c:pt>
                <c:pt idx="1">
                  <c:v>8.27</c:v>
                </c:pt>
                <c:pt idx="2">
                  <c:v>8.5949999999999989</c:v>
                </c:pt>
                <c:pt idx="3">
                  <c:v>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37-4A30-88A7-9AA02B916754}"/>
            </c:ext>
          </c:extLst>
        </c:ser>
        <c:ser>
          <c:idx val="1"/>
          <c:order val="1"/>
          <c:tx>
            <c:strRef>
              <c:f>Sheet1!$E$79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Sheet1!C80:C83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Sheet1!$E$80:$E$83</c:f>
              <c:numCache>
                <c:formatCode>General</c:formatCode>
                <c:ptCount val="4"/>
                <c:pt idx="0">
                  <c:v>8.39</c:v>
                </c:pt>
                <c:pt idx="1">
                  <c:v>8.86</c:v>
                </c:pt>
                <c:pt idx="2">
                  <c:v>8.6150000000000002</c:v>
                </c:pt>
                <c:pt idx="3">
                  <c:v>8.4649999999999999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37-4A30-88A7-9AA02B916754}"/>
            </c:ext>
          </c:extLst>
        </c:ser>
        <c:ser>
          <c:idx val="2"/>
          <c:order val="2"/>
          <c:tx>
            <c:strRef>
              <c:f>Sheet1!$F$79</c:f>
              <c:strCache>
                <c:ptCount val="1"/>
                <c:pt idx="0">
                  <c:v>CRITICAL_O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Sheet1!C80:C83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Sheet1!$F$80:$F$83</c:f>
              <c:numCache>
                <c:formatCode>General</c:formatCode>
                <c:ptCount val="4"/>
                <c:pt idx="0">
                  <c:v>6.7750000000000004</c:v>
                </c:pt>
                <c:pt idx="1">
                  <c:v>4.3849999999999998</c:v>
                </c:pt>
                <c:pt idx="2">
                  <c:v>4.0350000000000001</c:v>
                </c:pt>
                <c:pt idx="3">
                  <c:v>6.3650000000000002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037-4A30-88A7-9AA02B916754}"/>
            </c:ext>
          </c:extLst>
        </c:ser>
        <c:ser>
          <c:idx val="3"/>
          <c:order val="3"/>
          <c:tx>
            <c:strRef>
              <c:f>Sheet1!$G$79</c:f>
              <c:strCache>
                <c:ptCount val="1"/>
                <c:pt idx="0">
                  <c:v>ATOMIC_O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Sheet1!C80:C83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Sheet1!$G$80:$G$83</c:f>
              <c:numCache>
                <c:formatCode>General</c:formatCode>
                <c:ptCount val="4"/>
                <c:pt idx="0">
                  <c:v>7.0150000000000006</c:v>
                </c:pt>
                <c:pt idx="1">
                  <c:v>4.7750000000000004</c:v>
                </c:pt>
                <c:pt idx="2">
                  <c:v>4.4249999999999998</c:v>
                </c:pt>
                <c:pt idx="3">
                  <c:v>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037-4A30-88A7-9AA02B916754}"/>
            </c:ext>
          </c:extLst>
        </c:ser>
        <c:ser>
          <c:idx val="4"/>
          <c:order val="4"/>
          <c:tx>
            <c:strRef>
              <c:f>Sheet1!$H$79</c:f>
              <c:strCache>
                <c:ptCount val="1"/>
                <c:pt idx="0">
                  <c:v>REDUCTION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numRef>
              <c:f>Sheet1!C80:C83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Sheet1!$H$80:$H$83</c:f>
              <c:numCache>
                <c:formatCode>General</c:formatCode>
                <c:ptCount val="4"/>
                <c:pt idx="0">
                  <c:v>6.5950000000000006</c:v>
                </c:pt>
                <c:pt idx="1">
                  <c:v>5.1100000000000003</c:v>
                </c:pt>
                <c:pt idx="2">
                  <c:v>4.04</c:v>
                </c:pt>
                <c:pt idx="3">
                  <c:v>5.585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037-4A30-88A7-9AA02B91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745159"/>
        <c:axId val="885778439"/>
      </c:lineChart>
      <c:catAx>
        <c:axId val="88574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78439"/>
        <c:crosses val="autoZero"/>
        <c:auto val="1"/>
        <c:lblAlgn val="ctr"/>
        <c:lblOffset val="100"/>
        <c:noMultiLvlLbl val="0"/>
      </c:catAx>
      <c:valAx>
        <c:axId val="885778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4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con CHUNK_SIZE=1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{"STATIC_1"}</c:f>
              <c:strCache>
                <c:ptCount val="1"/>
                <c:pt idx="0">
                  <c:v>STATIC_1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Sheet1!H179:H182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Sheet1!$I$179:$I$182</c:f>
              <c:numCache>
                <c:formatCode>General</c:formatCode>
                <c:ptCount val="4"/>
                <c:pt idx="0" formatCode="0.00">
                  <c:v>3.6174499999999998E-2</c:v>
                </c:pt>
                <c:pt idx="1">
                  <c:v>1.8588500000000001E-2</c:v>
                </c:pt>
                <c:pt idx="2">
                  <c:v>1.4409E-2</c:v>
                </c:pt>
                <c:pt idx="3">
                  <c:v>1.4349000000000001E-2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D-4C90-8E39-AA10899B3DC3}"/>
            </c:ext>
          </c:extLst>
        </c:ser>
        <c:ser>
          <c:idx val="1"/>
          <c:order val="1"/>
          <c:tx>
            <c:strRef>
              <c:f>{"DYNAMIC_1"}</c:f>
              <c:strCache>
                <c:ptCount val="1"/>
                <c:pt idx="0">
                  <c:v>DYNAMIC_1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Sheet1!H179:H182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Sheet1!$J$179:$J$182</c:f>
              <c:numCache>
                <c:formatCode>General</c:formatCode>
                <c:ptCount val="4"/>
                <c:pt idx="0">
                  <c:v>3.6054000000000003E-2</c:v>
                </c:pt>
                <c:pt idx="1">
                  <c:v>1.8879E-2</c:v>
                </c:pt>
                <c:pt idx="2">
                  <c:v>1.3188500000000001E-2</c:v>
                </c:pt>
                <c:pt idx="3">
                  <c:v>1.22635E-2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D-4C90-8E39-AA10899B3DC3}"/>
            </c:ext>
          </c:extLst>
        </c:ser>
        <c:ser>
          <c:idx val="2"/>
          <c:order val="2"/>
          <c:tx>
            <c:strRef>
              <c:f>{"GUIDED_1"}</c:f>
              <c:strCache>
                <c:ptCount val="1"/>
                <c:pt idx="0">
                  <c:v>GUIDED_1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Sheet1!H179:H182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Sheet1!$K$179:$K$182</c:f>
              <c:numCache>
                <c:formatCode>General</c:formatCode>
                <c:ptCount val="4"/>
                <c:pt idx="0">
                  <c:v>3.1519499999999999E-2</c:v>
                </c:pt>
                <c:pt idx="1">
                  <c:v>1.8366500000000001E-2</c:v>
                </c:pt>
                <c:pt idx="2">
                  <c:v>1.3166499999999999E-2</c:v>
                </c:pt>
                <c:pt idx="3">
                  <c:v>1.3117E-2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D-4C90-8E39-AA10899B3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627848"/>
        <c:axId val="928171528"/>
      </c:lineChart>
      <c:catAx>
        <c:axId val="63062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71528"/>
        <c:crosses val="autoZero"/>
        <c:auto val="1"/>
        <c:lblAlgn val="ctr"/>
        <c:lblOffset val="100"/>
        <c:noMultiLvlLbl val="0"/>
      </c:catAx>
      <c:valAx>
        <c:axId val="92817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2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CHUNK_SIZE=5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{"STATIC_5"}</c:f>
              <c:strCache>
                <c:ptCount val="1"/>
                <c:pt idx="0">
                  <c:v>STATIC_5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Sheet1!H186:H189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Sheet1!$I$186:$I$189</c:f>
              <c:numCache>
                <c:formatCode>General</c:formatCode>
                <c:ptCount val="4"/>
                <c:pt idx="0">
                  <c:v>3.6428000000000002E-2</c:v>
                </c:pt>
                <c:pt idx="1">
                  <c:v>2.2337000000000003E-2</c:v>
                </c:pt>
                <c:pt idx="2">
                  <c:v>1.5284000000000001E-2</c:v>
                </c:pt>
                <c:pt idx="3">
                  <c:v>1.7014500000000002E-2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95-4A42-BD40-BEE0E27306B2}"/>
            </c:ext>
          </c:extLst>
        </c:ser>
        <c:ser>
          <c:idx val="1"/>
          <c:order val="1"/>
          <c:tx>
            <c:strRef>
              <c:f>{"DYNAMIC_5"}</c:f>
              <c:strCache>
                <c:ptCount val="1"/>
                <c:pt idx="0">
                  <c:v>DYNAMIC_5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Sheet1!H186:H189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Sheet1!$J$186:$J$189</c:f>
              <c:numCache>
                <c:formatCode>General</c:formatCode>
                <c:ptCount val="4"/>
                <c:pt idx="0">
                  <c:v>3.3565999999999999E-2</c:v>
                </c:pt>
                <c:pt idx="1">
                  <c:v>1.8356000000000001E-2</c:v>
                </c:pt>
                <c:pt idx="2">
                  <c:v>1.3639499999999999E-2</c:v>
                </c:pt>
                <c:pt idx="3">
                  <c:v>1.36805E-2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95-4A42-BD40-BEE0E27306B2}"/>
            </c:ext>
          </c:extLst>
        </c:ser>
        <c:ser>
          <c:idx val="2"/>
          <c:order val="2"/>
          <c:tx>
            <c:strRef>
              <c:f>{"GUIEDED_5"}</c:f>
              <c:strCache>
                <c:ptCount val="1"/>
                <c:pt idx="0">
                  <c:v>GUIEDED_5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Sheet1!H186:H189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Sheet1!$K$186:$K$189</c:f>
              <c:numCache>
                <c:formatCode>General</c:formatCode>
                <c:ptCount val="4"/>
                <c:pt idx="0">
                  <c:v>3.2634500000000004E-2</c:v>
                </c:pt>
                <c:pt idx="1">
                  <c:v>1.9774E-2</c:v>
                </c:pt>
                <c:pt idx="2">
                  <c:v>1.3381500000000001E-2</c:v>
                </c:pt>
                <c:pt idx="3">
                  <c:v>1.42855E-2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95-4A42-BD40-BEE0E273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107655"/>
        <c:axId val="1158109703"/>
      </c:lineChart>
      <c:catAx>
        <c:axId val="1158107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09703"/>
        <c:crosses val="autoZero"/>
        <c:auto val="1"/>
        <c:lblAlgn val="ctr"/>
        <c:lblOffset val="100"/>
        <c:noMultiLvlLbl val="0"/>
      </c:catAx>
      <c:valAx>
        <c:axId val="115810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0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CHUNK_SIZE=10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{"STATIC_10"}</c:f>
              <c:strCache>
                <c:ptCount val="1"/>
                <c:pt idx="0">
                  <c:v>STATIC_10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Sheet1!H193:H196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Sheet1!$I$193:$I$196</c:f>
              <c:numCache>
                <c:formatCode>General</c:formatCode>
                <c:ptCount val="4"/>
                <c:pt idx="0">
                  <c:v>3.2452000000000002E-2</c:v>
                </c:pt>
                <c:pt idx="1">
                  <c:v>1.9868500000000001E-2</c:v>
                </c:pt>
                <c:pt idx="2">
                  <c:v>1.8336999999999999E-2</c:v>
                </c:pt>
                <c:pt idx="3">
                  <c:v>1.4844E-2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71-4F81-B798-8DFC828C43DD}"/>
            </c:ext>
          </c:extLst>
        </c:ser>
        <c:ser>
          <c:idx val="1"/>
          <c:order val="1"/>
          <c:tx>
            <c:strRef>
              <c:f>{"DYNAMIC_10"}</c:f>
              <c:strCache>
                <c:ptCount val="1"/>
                <c:pt idx="0">
                  <c:v>DYNAMIC_10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Sheet1!H193:H196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Sheet1!$J$193:$J$196</c:f>
              <c:numCache>
                <c:formatCode>General</c:formatCode>
                <c:ptCount val="4"/>
                <c:pt idx="0">
                  <c:v>3.4600000000000006E-2</c:v>
                </c:pt>
                <c:pt idx="1">
                  <c:v>2.0723999999999999E-2</c:v>
                </c:pt>
                <c:pt idx="2">
                  <c:v>1.43225E-2</c:v>
                </c:pt>
                <c:pt idx="3">
                  <c:v>1.46225E-2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71-4F81-B798-8DFC828C43DD}"/>
            </c:ext>
          </c:extLst>
        </c:ser>
        <c:ser>
          <c:idx val="2"/>
          <c:order val="2"/>
          <c:tx>
            <c:strRef>
              <c:f>{"GUIDED_10"}</c:f>
              <c:strCache>
                <c:ptCount val="1"/>
                <c:pt idx="0">
                  <c:v>GUIDED_10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Sheet1!H193:H196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Sheet1!$K$193:$K$196</c:f>
              <c:numCache>
                <c:formatCode>General</c:formatCode>
                <c:ptCount val="4"/>
                <c:pt idx="0">
                  <c:v>3.2002500000000003E-2</c:v>
                </c:pt>
                <c:pt idx="1">
                  <c:v>2.18625E-2</c:v>
                </c:pt>
                <c:pt idx="2">
                  <c:v>1.5053500000000001E-2</c:v>
                </c:pt>
                <c:pt idx="3">
                  <c:v>1.7068E-2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71-4F81-B798-8DFC828C4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84424"/>
        <c:axId val="629886472"/>
      </c:lineChart>
      <c:catAx>
        <c:axId val="62988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86472"/>
        <c:crosses val="autoZero"/>
        <c:auto val="1"/>
        <c:lblAlgn val="ctr"/>
        <c:lblOffset val="100"/>
        <c:noMultiLvlLbl val="0"/>
      </c:catAx>
      <c:valAx>
        <c:axId val="62988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8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Cruzar Sections Vs Secuencial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{"Cruzar_sections"}</c:f>
              <c:strCache>
                <c:ptCount val="1"/>
                <c:pt idx="0">
                  <c:v>Cruzar_sections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Sheet1!F220:F223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Sheet1!$G$220:$G$223</c:f>
              <c:numCache>
                <c:formatCode>General</c:formatCode>
                <c:ptCount val="4"/>
                <c:pt idx="0">
                  <c:v>1.3665000000000001E-3</c:v>
                </c:pt>
                <c:pt idx="1">
                  <c:v>1.5660000000000001E-3</c:v>
                </c:pt>
                <c:pt idx="2">
                  <c:v>2.4625000000000003E-3</c:v>
                </c:pt>
                <c:pt idx="3">
                  <c:v>5.2580000000000005E-3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37-484A-AF75-721E9367E259}"/>
            </c:ext>
          </c:extLst>
        </c:ser>
        <c:ser>
          <c:idx val="1"/>
          <c:order val="1"/>
          <c:tx>
            <c:strRef>
              <c:f>{"Cruzar_secuencial"}</c:f>
              <c:strCache>
                <c:ptCount val="1"/>
                <c:pt idx="0">
                  <c:v>Cruzar_secuencial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Sheet1!F220:F223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Sheet1!$H$220:$H$223</c:f>
              <c:numCache>
                <c:formatCode>General</c:formatCode>
                <c:ptCount val="4"/>
                <c:pt idx="0">
                  <c:v>2.6680000000000002E-3</c:v>
                </c:pt>
                <c:pt idx="1">
                  <c:v>3.0479999999999999E-3</c:v>
                </c:pt>
                <c:pt idx="2">
                  <c:v>4.2040000000000003E-3</c:v>
                </c:pt>
                <c:pt idx="3">
                  <c:v>3.1570000000000001E-3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37-484A-AF75-721E9367E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013255"/>
        <c:axId val="1985015303"/>
      </c:lineChart>
      <c:catAx>
        <c:axId val="1985013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015303"/>
        <c:crosses val="autoZero"/>
        <c:auto val="1"/>
        <c:lblAlgn val="ctr"/>
        <c:lblOffset val="100"/>
        <c:noMultiLvlLbl val="0"/>
      </c:catAx>
      <c:valAx>
        <c:axId val="1985015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ejecucion(s)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013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QSORT vs MERGESORT vs MERGESORT_TASK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{"QSORT"}</c:f>
              <c:strCache>
                <c:ptCount val="1"/>
                <c:pt idx="0">
                  <c:v>QSORT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Sheet1!H246:H249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Sheet1!$I$246:$I$249</c:f>
              <c:numCache>
                <c:formatCode>General</c:formatCode>
                <c:ptCount val="4"/>
                <c:pt idx="0">
                  <c:v>2.2499999999999998E-5</c:v>
                </c:pt>
                <c:pt idx="1">
                  <c:v>2.2499999999999998E-5</c:v>
                </c:pt>
                <c:pt idx="2">
                  <c:v>2.4000000000000001E-5</c:v>
                </c:pt>
                <c:pt idx="3">
                  <c:v>2.5999999999999998E-5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97-42D6-A118-5C4A877E253D}"/>
            </c:ext>
          </c:extLst>
        </c:ser>
        <c:ser>
          <c:idx val="1"/>
          <c:order val="1"/>
          <c:tx>
            <c:strRef>
              <c:f>{"MERGESORT"}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Sheet1!H246:H249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Sheet1!$J$246:$J$249</c:f>
              <c:numCache>
                <c:formatCode>General</c:formatCode>
                <c:ptCount val="4"/>
                <c:pt idx="0">
                  <c:v>3.2500000000000004E-5</c:v>
                </c:pt>
                <c:pt idx="1">
                  <c:v>3.3500000000000001E-5</c:v>
                </c:pt>
                <c:pt idx="2">
                  <c:v>3.4499999999999998E-5</c:v>
                </c:pt>
                <c:pt idx="3">
                  <c:v>3.8500000000000001E-5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797-42D6-A118-5C4A877E253D}"/>
            </c:ext>
          </c:extLst>
        </c:ser>
        <c:ser>
          <c:idx val="2"/>
          <c:order val="2"/>
          <c:tx>
            <c:strRef>
              <c:f>{"MERGESORT_TASK"}</c:f>
              <c:strCache>
                <c:ptCount val="1"/>
                <c:pt idx="0">
                  <c:v>MERGESORT_TASK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Sheet1!H246:H249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Sheet1!$K$246:$K$249</c:f>
              <c:numCache>
                <c:formatCode>General</c:formatCode>
                <c:ptCount val="4"/>
                <c:pt idx="0">
                  <c:v>1.3799999999999999E-4</c:v>
                </c:pt>
                <c:pt idx="1">
                  <c:v>1.63E-4</c:v>
                </c:pt>
                <c:pt idx="2">
                  <c:v>1.65E-4</c:v>
                </c:pt>
                <c:pt idx="3">
                  <c:v>1.9699999999999999E-4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797-42D6-A118-5C4A877E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745287"/>
        <c:axId val="1011747335"/>
      </c:lineChart>
      <c:catAx>
        <c:axId val="1011745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47335"/>
        <c:crosses val="autoZero"/>
        <c:auto val="1"/>
        <c:lblAlgn val="ctr"/>
        <c:lblOffset val="100"/>
        <c:noMultiLvlLbl val="0"/>
      </c:catAx>
      <c:valAx>
        <c:axId val="101174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4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CRUZAR_SECTIONS vs CRUZAR_FOR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{"CRUZAR_SECTIONS"}</c:f>
              <c:strCache>
                <c:ptCount val="1"/>
                <c:pt idx="0">
                  <c:v>CRUZAR_SECTIONS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Sheet1!F277:F280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Sheet1!$G$277:$G$280</c:f>
              <c:numCache>
                <c:formatCode>General</c:formatCode>
                <c:ptCount val="4"/>
                <c:pt idx="0">
                  <c:v>1.3665000000000001E-3</c:v>
                </c:pt>
                <c:pt idx="1">
                  <c:v>1.5660000000000001E-3</c:v>
                </c:pt>
                <c:pt idx="2">
                  <c:v>2.4625000000000003E-3</c:v>
                </c:pt>
                <c:pt idx="3">
                  <c:v>5.2580000000000005E-3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C2-476E-BDD1-473BB3C05D55}"/>
            </c:ext>
          </c:extLst>
        </c:ser>
        <c:ser>
          <c:idx val="1"/>
          <c:order val="1"/>
          <c:tx>
            <c:strRef>
              <c:f>{"CRUZAR_FOR"}</c:f>
              <c:strCache>
                <c:ptCount val="1"/>
                <c:pt idx="0">
                  <c:v>CRUZAR_FOR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Sheet1!F277:F280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cat>
          <c:val>
            <c:numRef>
              <c:f>Sheet1!$H$277:$H$280</c:f>
              <c:numCache>
                <c:formatCode>General</c:formatCode>
                <c:ptCount val="4"/>
                <c:pt idx="0">
                  <c:v>2.271E-3</c:v>
                </c:pt>
                <c:pt idx="1">
                  <c:v>1.5455E-3</c:v>
                </c:pt>
                <c:pt idx="2">
                  <c:v>2.271E-3</c:v>
                </c:pt>
                <c:pt idx="3">
                  <c:v>5.7404999999999999E-3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C2-476E-BDD1-473BB3C0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029447"/>
        <c:axId val="1044031495"/>
      </c:lineChart>
      <c:catAx>
        <c:axId val="1044029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31495"/>
        <c:crosses val="autoZero"/>
        <c:auto val="1"/>
        <c:lblAlgn val="ctr"/>
        <c:lblOffset val="100"/>
        <c:noMultiLvlLbl val="0"/>
      </c:catAx>
      <c:valAx>
        <c:axId val="1044031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2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SIN_PARALELIZAR vs CRUZAR vs CRUZAR_MUTAR vs CRUZAR_MUTAR_FITNESS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{"SIN_PARALELIZAR"}</c:f>
              <c:strCache>
                <c:ptCount val="1"/>
                <c:pt idx="0">
                  <c:v>SIN_PARALELIZAR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Sheet1!$C$330:$C$333</c:f>
              <c:numCache>
                <c:formatCode>General</c:formatCode>
                <c:ptCount val="4"/>
                <c:pt idx="0">
                  <c:v>11.074999999999999</c:v>
                </c:pt>
                <c:pt idx="1">
                  <c:v>7.5500000000000007</c:v>
                </c:pt>
                <c:pt idx="2">
                  <c:v>7.01</c:v>
                </c:pt>
                <c:pt idx="3">
                  <c:v>9.0150000000000006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84C-48ED-A8F7-6001B1272F15}"/>
            </c:ext>
          </c:extLst>
        </c:ser>
        <c:ser>
          <c:idx val="1"/>
          <c:order val="1"/>
          <c:tx>
            <c:strRef>
              <c:f>{"FOR_CRUZAR"}</c:f>
              <c:strCache>
                <c:ptCount val="1"/>
                <c:pt idx="0">
                  <c:v>FOR_CRUZAR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Sheet1!$D$330:$D$333</c:f>
              <c:numCache>
                <c:formatCode>General</c:formatCode>
                <c:ptCount val="4"/>
                <c:pt idx="0">
                  <c:v>10.69</c:v>
                </c:pt>
                <c:pt idx="1">
                  <c:v>7.5949999999999998</c:v>
                </c:pt>
                <c:pt idx="2">
                  <c:v>6.49</c:v>
                </c:pt>
                <c:pt idx="3">
                  <c:v>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84C-48ED-A8F7-6001B1272F15}"/>
            </c:ext>
          </c:extLst>
        </c:ser>
        <c:ser>
          <c:idx val="2"/>
          <c:order val="2"/>
          <c:tx>
            <c:strRef>
              <c:f>{"FOR_CRUZAR_MUTAR"}</c:f>
              <c:strCache>
                <c:ptCount val="1"/>
                <c:pt idx="0">
                  <c:v>FOR_CRUZAR_MUTAR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val>
            <c:numRef>
              <c:f>Sheet1!$E$330:$E$333</c:f>
              <c:numCache>
                <c:formatCode>General</c:formatCode>
                <c:ptCount val="4"/>
                <c:pt idx="0">
                  <c:v>5.875</c:v>
                </c:pt>
                <c:pt idx="1">
                  <c:v>6.8450000000000006</c:v>
                </c:pt>
                <c:pt idx="2">
                  <c:v>5.875</c:v>
                </c:pt>
                <c:pt idx="3">
                  <c:v>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84C-48ED-A8F7-6001B1272F15}"/>
            </c:ext>
          </c:extLst>
        </c:ser>
        <c:ser>
          <c:idx val="3"/>
          <c:order val="3"/>
          <c:tx>
            <c:strRef>
              <c:f>{"FOR_CRUZAR_MUTAR_FITNESS"}</c:f>
              <c:strCache>
                <c:ptCount val="1"/>
                <c:pt idx="0">
                  <c:v>FOR_CRUZAR_MUTAR_FITNESS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val>
            <c:numRef>
              <c:f>Sheet1!$F$330:$F$333</c:f>
              <c:numCache>
                <c:formatCode>General</c:formatCode>
                <c:ptCount val="4"/>
                <c:pt idx="0">
                  <c:v>3.4649999999999999</c:v>
                </c:pt>
                <c:pt idx="1">
                  <c:v>4.59</c:v>
                </c:pt>
                <c:pt idx="2">
                  <c:v>2.98</c:v>
                </c:pt>
                <c:pt idx="3">
                  <c:v>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84C-48ED-A8F7-6001B1272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517831"/>
        <c:axId val="1616247815"/>
      </c:lineChart>
      <c:catAx>
        <c:axId val="1573517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47815"/>
        <c:crosses val="autoZero"/>
        <c:auto val="1"/>
        <c:lblAlgn val="ctr"/>
        <c:lblOffset val="100"/>
        <c:noMultiLvlLbl val="0"/>
      </c:catAx>
      <c:valAx>
        <c:axId val="161624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1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[Experimentos-P1.xlsx]Sheet3!PivotTable1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Sheet3!$A$3:$A$28</c:f>
              <c:strCache>
                <c:ptCount val="25"/>
                <c:pt idx="0">
                  <c:v>Tires and Tubes</c:v>
                </c:pt>
                <c:pt idx="1">
                  <c:v>Locks</c:v>
                </c:pt>
                <c:pt idx="2">
                  <c:v>Tights</c:v>
                </c:pt>
                <c:pt idx="3">
                  <c:v>Lights</c:v>
                </c:pt>
                <c:pt idx="4">
                  <c:v>Helmets</c:v>
                </c:pt>
                <c:pt idx="5">
                  <c:v>Bike Racks</c:v>
                </c:pt>
                <c:pt idx="6">
                  <c:v>Gloves</c:v>
                </c:pt>
                <c:pt idx="7">
                  <c:v>Wheels</c:v>
                </c:pt>
                <c:pt idx="8">
                  <c:v>Shorts</c:v>
                </c:pt>
                <c:pt idx="9">
                  <c:v>Pumps</c:v>
                </c:pt>
                <c:pt idx="10">
                  <c:v>Chains</c:v>
                </c:pt>
                <c:pt idx="11">
                  <c:v>Road Bikes</c:v>
                </c:pt>
                <c:pt idx="12">
                  <c:v>Cargo Bike</c:v>
                </c:pt>
                <c:pt idx="13">
                  <c:v>Jerseys</c:v>
                </c:pt>
                <c:pt idx="14">
                  <c:v>Mountain Bikes</c:v>
                </c:pt>
                <c:pt idx="15">
                  <c:v>Brakes</c:v>
                </c:pt>
                <c:pt idx="16">
                  <c:v>Handlebars</c:v>
                </c:pt>
                <c:pt idx="17">
                  <c:v>Socks</c:v>
                </c:pt>
                <c:pt idx="18">
                  <c:v>Pedals</c:v>
                </c:pt>
                <c:pt idx="19">
                  <c:v>Saddles</c:v>
                </c:pt>
                <c:pt idx="20">
                  <c:v>Bib-Shorts</c:v>
                </c:pt>
                <c:pt idx="21">
                  <c:v>Vests</c:v>
                </c:pt>
                <c:pt idx="22">
                  <c:v>Touring Bikes</c:v>
                </c:pt>
                <c:pt idx="23">
                  <c:v>Bottom Brackets</c:v>
                </c:pt>
                <c:pt idx="24">
                  <c:v>Caps</c:v>
                </c:pt>
              </c:strCache>
            </c:strRef>
          </c:cat>
          <c:val>
            <c:numRef>
              <c:f>Sheet3!$B$3:$B$28</c:f>
              <c:numCache>
                <c:formatCode>_("€"* #,##0_);_("€"* \(#,##0\);_("€"* "-"??_);_(@_)</c:formatCode>
                <c:ptCount val="25"/>
                <c:pt idx="0">
                  <c:v>86200</c:v>
                </c:pt>
                <c:pt idx="1">
                  <c:v>74800</c:v>
                </c:pt>
                <c:pt idx="2">
                  <c:v>61400</c:v>
                </c:pt>
                <c:pt idx="3">
                  <c:v>59600</c:v>
                </c:pt>
                <c:pt idx="4">
                  <c:v>59300</c:v>
                </c:pt>
                <c:pt idx="5">
                  <c:v>56100</c:v>
                </c:pt>
                <c:pt idx="6">
                  <c:v>55900</c:v>
                </c:pt>
                <c:pt idx="7">
                  <c:v>48500</c:v>
                </c:pt>
                <c:pt idx="8">
                  <c:v>48300</c:v>
                </c:pt>
                <c:pt idx="9">
                  <c:v>47800</c:v>
                </c:pt>
                <c:pt idx="10">
                  <c:v>45100</c:v>
                </c:pt>
                <c:pt idx="11">
                  <c:v>28700</c:v>
                </c:pt>
                <c:pt idx="12">
                  <c:v>19200</c:v>
                </c:pt>
                <c:pt idx="13">
                  <c:v>18000</c:v>
                </c:pt>
                <c:pt idx="14">
                  <c:v>17900</c:v>
                </c:pt>
                <c:pt idx="15">
                  <c:v>11100</c:v>
                </c:pt>
                <c:pt idx="16">
                  <c:v>10600</c:v>
                </c:pt>
                <c:pt idx="17">
                  <c:v>9700</c:v>
                </c:pt>
                <c:pt idx="18">
                  <c:v>8500</c:v>
                </c:pt>
                <c:pt idx="19">
                  <c:v>8000</c:v>
                </c:pt>
                <c:pt idx="20">
                  <c:v>7600</c:v>
                </c:pt>
                <c:pt idx="21">
                  <c:v>7000</c:v>
                </c:pt>
                <c:pt idx="22">
                  <c:v>5400</c:v>
                </c:pt>
                <c:pt idx="23">
                  <c:v>2100</c:v>
                </c:pt>
                <c:pt idx="2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58-4948-8979-3099D6CF2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16029191"/>
        <c:axId val="2016031239"/>
      </c:barChart>
      <c:catAx>
        <c:axId val="201602919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31239"/>
        <c:crosses val="autoZero"/>
        <c:auto val="1"/>
        <c:lblAlgn val="ctr"/>
        <c:lblOffset val="100"/>
        <c:noMultiLvlLbl val="0"/>
      </c:catAx>
      <c:valAx>
        <c:axId val="2016031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€&quot;* #,##0_);_(&quot;€&quot;* \(#,##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2919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3</xdr:row>
      <xdr:rowOff>180975</xdr:rowOff>
    </xdr:from>
    <xdr:to>
      <xdr:col>15</xdr:col>
      <xdr:colOff>295275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A43A8-5D03-5145-6EFE-1301F617A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695325</xdr:colOff>
      <xdr:row>67</xdr:row>
      <xdr:rowOff>142875</xdr:rowOff>
    </xdr:from>
    <xdr:to>
      <xdr:col>17</xdr:col>
      <xdr:colOff>581025</xdr:colOff>
      <xdr:row>84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0E0573-8BDC-229A-1A64-98E2CA416920}"/>
            </a:ext>
            <a:ext uri="{147F2762-F138-4A5C-976F-8EAC2B608ADB}">
              <a16:predDERef xmlns:a16="http://schemas.microsoft.com/office/drawing/2014/main" pred="{733A43A8-5D03-5145-6EFE-1301F617A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342900</xdr:colOff>
      <xdr:row>171</xdr:row>
      <xdr:rowOff>38100</xdr:rowOff>
    </xdr:from>
    <xdr:to>
      <xdr:col>20</xdr:col>
      <xdr:colOff>38100</xdr:colOff>
      <xdr:row>185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3A11A8-9CBD-4D18-914B-EAD66BAAFD47}"/>
            </a:ext>
            <a:ext uri="{147F2762-F138-4A5C-976F-8EAC2B608ADB}">
              <a16:predDERef xmlns:a16="http://schemas.microsoft.com/office/drawing/2014/main" pred="{750E0573-8BDC-229A-1A64-98E2CA416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314325</xdr:colOff>
      <xdr:row>187</xdr:row>
      <xdr:rowOff>171450</xdr:rowOff>
    </xdr:from>
    <xdr:to>
      <xdr:col>20</xdr:col>
      <xdr:colOff>9525</xdr:colOff>
      <xdr:row>202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6E2ED6-D021-E502-958D-14B07625AB33}"/>
            </a:ext>
            <a:ext uri="{147F2762-F138-4A5C-976F-8EAC2B608ADB}">
              <a16:predDERef xmlns:a16="http://schemas.microsoft.com/office/drawing/2014/main" pred="{5A3A11A8-9CBD-4D18-914B-EAD66BAAF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438150</xdr:colOff>
      <xdr:row>198</xdr:row>
      <xdr:rowOff>28575</xdr:rowOff>
    </xdr:from>
    <xdr:to>
      <xdr:col>10</xdr:col>
      <xdr:colOff>590550</xdr:colOff>
      <xdr:row>212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F2A4A43-7227-9DC8-41A1-020F713FC09D}"/>
            </a:ext>
            <a:ext uri="{147F2762-F138-4A5C-976F-8EAC2B608ADB}">
              <a16:predDERef xmlns:a16="http://schemas.microsoft.com/office/drawing/2014/main" pred="{E46E2ED6-D021-E502-958D-14B07625A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1257300</xdr:colOff>
      <xdr:row>214</xdr:row>
      <xdr:rowOff>171450</xdr:rowOff>
    </xdr:from>
    <xdr:to>
      <xdr:col>13</xdr:col>
      <xdr:colOff>228600</xdr:colOff>
      <xdr:row>229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4EC551-95DB-1249-50F8-3C410B1D69FA}"/>
            </a:ext>
            <a:ext uri="{147F2762-F138-4A5C-976F-8EAC2B608ADB}">
              <a16:predDERef xmlns:a16="http://schemas.microsoft.com/office/drawing/2014/main" pred="{0F2A4A43-7227-9DC8-41A1-020F713FC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1390650</xdr:colOff>
      <xdr:row>252</xdr:row>
      <xdr:rowOff>180975</xdr:rowOff>
    </xdr:from>
    <xdr:to>
      <xdr:col>8</xdr:col>
      <xdr:colOff>1485900</xdr:colOff>
      <xdr:row>267</xdr:row>
      <xdr:rowOff>66675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7A1CD6-9577-022B-8AA2-4896D6A2CF8E}"/>
            </a:ext>
            <a:ext uri="{147F2762-F138-4A5C-976F-8EAC2B608ADB}">
              <a16:predDERef xmlns:a16="http://schemas.microsoft.com/office/drawing/2014/main" pred="{9D4EC551-95DB-1249-50F8-3C410B1D6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180975</xdr:colOff>
      <xdr:row>282</xdr:row>
      <xdr:rowOff>85725</xdr:rowOff>
    </xdr:from>
    <xdr:to>
      <xdr:col>8</xdr:col>
      <xdr:colOff>276225</xdr:colOff>
      <xdr:row>296</xdr:row>
      <xdr:rowOff>161925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94DFFC-7D27-5D45-03A1-45EEB5200B54}"/>
            </a:ext>
            <a:ext uri="{147F2762-F138-4A5C-976F-8EAC2B608ADB}">
              <a16:predDERef xmlns:a16="http://schemas.microsoft.com/office/drawing/2014/main" pred="{897A1CD6-9577-022B-8AA2-4896D6A2C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1762125</xdr:colOff>
      <xdr:row>305</xdr:row>
      <xdr:rowOff>123825</xdr:rowOff>
    </xdr:from>
    <xdr:to>
      <xdr:col>10</xdr:col>
      <xdr:colOff>323850</xdr:colOff>
      <xdr:row>320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707FF62-F607-FF47-5AFF-3267F9590147}"/>
            </a:ext>
            <a:ext uri="{147F2762-F138-4A5C-976F-8EAC2B608ADB}">
              <a16:predDERef xmlns:a16="http://schemas.microsoft.com/office/drawing/2014/main" pred="{FB94DFFC-7D27-5D45-03A1-45EEB5200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Sales' by 'Product'&#10;&#10;Description automatically generated">
          <a:extLst>
            <a:ext uri="{FF2B5EF4-FFF2-40B4-BE49-F238E27FC236}">
              <a16:creationId xmlns:a16="http://schemas.microsoft.com/office/drawing/2014/main" id="{38408F4E-8C76-1FA8-C5AF-F8C41F0CF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416877430558" createdVersion="8" refreshedVersion="8" minRefreshableVersion="3" recordCount="75" xr:uid="{BE23FA04-D2A4-48C8-9514-B1DD922A833C}">
  <cacheSource type="worksheet">
    <worksheetSource name="Table1"/>
  </cacheSource>
  <cacheFields count="5">
    <cacheField name="Year" numFmtId="0">
      <sharedItems containsSemiMixedTypes="0" containsString="0" containsNumber="1" containsInteger="1" minValue="2015" maxValue="2017"/>
    </cacheField>
    <cacheField name="Category" numFmtId="0">
      <sharedItems/>
    </cacheField>
    <cacheField name="Product" numFmtId="0">
      <sharedItems count="25">
        <s v="Chains"/>
        <s v="Socks"/>
        <s v="Bib-Shorts"/>
        <s v="Shorts"/>
        <s v="Tights"/>
        <s v="Handlebars"/>
        <s v="Brakes"/>
        <s v="Mountain Bikes"/>
        <s v="Helmets"/>
        <s v="Lights"/>
        <s v="Locks"/>
        <s v="Bottom Brackets"/>
        <s v="Jerseys"/>
        <s v="Road Bikes"/>
        <s v="Tires and Tubes"/>
        <s v="Cargo Bike"/>
        <s v="Bike Racks"/>
        <s v="Caps"/>
        <s v="Pumps"/>
        <s v="Wheels"/>
        <s v="Touring Bikes"/>
        <s v="Vests"/>
        <s v="Pedals"/>
        <s v="Gloves"/>
        <s v="Saddles"/>
      </sharedItems>
    </cacheField>
    <cacheField name="Sales" numFmtId="164">
      <sharedItems containsSemiMixedTypes="0" containsString="0" containsNumber="1" containsInteger="1" minValue="300" maxValue="63700"/>
    </cacheField>
    <cacheField name="Rating" numFmtId="9">
      <sharedItems containsSemiMixedTypes="0" containsString="0" containsNumber="1" minValue="0.0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17"/>
    <s v="Components"/>
    <x v="0"/>
    <n v="20000"/>
    <n v="0.75"/>
  </r>
  <r>
    <n v="2015"/>
    <s v="Clothing"/>
    <x v="1"/>
    <n v="3700"/>
    <n v="0.22"/>
  </r>
  <r>
    <n v="2017"/>
    <s v="Clothing"/>
    <x v="2"/>
    <n v="4000"/>
    <n v="0.22"/>
  </r>
  <r>
    <n v="2015"/>
    <s v="Clothing"/>
    <x v="3"/>
    <n v="13300"/>
    <n v="0.56000000000000005"/>
  </r>
  <r>
    <n v="2017"/>
    <s v="Clothing"/>
    <x v="4"/>
    <n v="36000"/>
    <n v="1"/>
  </r>
  <r>
    <n v="2015"/>
    <s v="Components"/>
    <x v="5"/>
    <n v="2300"/>
    <n v="0.35"/>
  </r>
  <r>
    <n v="2016"/>
    <s v="Clothing"/>
    <x v="1"/>
    <n v="2300"/>
    <n v="0.28000000000000003"/>
  </r>
  <r>
    <n v="2016"/>
    <s v="Components"/>
    <x v="6"/>
    <n v="3400"/>
    <n v="0.36"/>
  </r>
  <r>
    <n v="2016"/>
    <s v="Bikes"/>
    <x v="7"/>
    <n v="6300"/>
    <n v="0.4"/>
  </r>
  <r>
    <n v="2017"/>
    <s v="Components"/>
    <x v="6"/>
    <n v="5400"/>
    <n v="0.38"/>
  </r>
  <r>
    <n v="2016"/>
    <s v="Accessories"/>
    <x v="8"/>
    <n v="17000"/>
    <n v="0.9"/>
  </r>
  <r>
    <n v="2016"/>
    <s v="Accessories"/>
    <x v="9"/>
    <n v="21600"/>
    <n v="0.9"/>
  </r>
  <r>
    <n v="2016"/>
    <s v="Accessories"/>
    <x v="10"/>
    <n v="29800"/>
    <n v="0.9"/>
  </r>
  <r>
    <n v="2016"/>
    <s v="Components"/>
    <x v="11"/>
    <n v="1000"/>
    <n v="0.23"/>
  </r>
  <r>
    <n v="2015"/>
    <s v="Clothing"/>
    <x v="12"/>
    <n v="6700"/>
    <n v="0.05"/>
  </r>
  <r>
    <n v="2017"/>
    <s v="Components"/>
    <x v="11"/>
    <n v="600"/>
    <n v="0.27"/>
  </r>
  <r>
    <n v="2015"/>
    <s v="Bikes"/>
    <x v="13"/>
    <n v="3500"/>
    <n v="0.5"/>
  </r>
  <r>
    <n v="2017"/>
    <s v="Clothing"/>
    <x v="12"/>
    <n v="7500"/>
    <n v="0.4"/>
  </r>
  <r>
    <n v="2017"/>
    <s v="Accessories"/>
    <x v="14"/>
    <n v="63700"/>
    <n v="0.9"/>
  </r>
  <r>
    <n v="2017"/>
    <s v="Bikes"/>
    <x v="15"/>
    <n v="9300"/>
    <n v="0.6"/>
  </r>
  <r>
    <n v="2017"/>
    <s v="Bikes"/>
    <x v="7"/>
    <n v="8500"/>
    <n v="0.46"/>
  </r>
  <r>
    <n v="2017"/>
    <s v="Accessories"/>
    <x v="16"/>
    <n v="33700"/>
    <n v="0.92"/>
  </r>
  <r>
    <n v="2017"/>
    <s v="Clothing"/>
    <x v="17"/>
    <n v="600"/>
    <n v="0.15"/>
  </r>
  <r>
    <n v="2015"/>
    <s v="Bikes"/>
    <x v="7"/>
    <n v="3100"/>
    <n v="0.35"/>
  </r>
  <r>
    <n v="2017"/>
    <s v="Accessories"/>
    <x v="18"/>
    <n v="30700"/>
    <n v="0.95"/>
  </r>
  <r>
    <n v="2016"/>
    <s v="Accessories"/>
    <x v="18"/>
    <n v="16400"/>
    <n v="0.8"/>
  </r>
  <r>
    <n v="2016"/>
    <s v="Accessories"/>
    <x v="16"/>
    <n v="22100"/>
    <n v="0.9"/>
  </r>
  <r>
    <n v="2017"/>
    <s v="Accessories"/>
    <x v="8"/>
    <n v="34000"/>
    <n v="0.95"/>
  </r>
  <r>
    <n v="2015"/>
    <s v="Accessories"/>
    <x v="18"/>
    <n v="700"/>
    <n v="0.1"/>
  </r>
  <r>
    <n v="2015"/>
    <s v="Clothing"/>
    <x v="4"/>
    <n v="3300"/>
    <n v="0.3"/>
  </r>
  <r>
    <n v="2017"/>
    <s v="Bikes"/>
    <x v="13"/>
    <n v="16900"/>
    <n v="0.65"/>
  </r>
  <r>
    <n v="2017"/>
    <s v="Accessories"/>
    <x v="9"/>
    <n v="36700"/>
    <n v="0.9"/>
  </r>
  <r>
    <n v="2015"/>
    <s v="Accessories"/>
    <x v="8"/>
    <n v="8300"/>
    <n v="0.99"/>
  </r>
  <r>
    <n v="2016"/>
    <s v="Clothing"/>
    <x v="2"/>
    <n v="2900"/>
    <n v="0.36"/>
  </r>
  <r>
    <n v="2015"/>
    <s v="Accessories"/>
    <x v="14"/>
    <n v="8700"/>
    <n v="0.9"/>
  </r>
  <r>
    <n v="2017"/>
    <s v="Accessories"/>
    <x v="10"/>
    <n v="35000"/>
    <n v="1"/>
  </r>
  <r>
    <n v="2016"/>
    <s v="Bikes"/>
    <x v="13"/>
    <n v="8300"/>
    <n v="0.46"/>
  </r>
  <r>
    <n v="2016"/>
    <s v="Components"/>
    <x v="19"/>
    <n v="16700"/>
    <n v="0.75"/>
  </r>
  <r>
    <n v="2016"/>
    <s v="Bikes"/>
    <x v="20"/>
    <n v="1800"/>
    <n v="0.15"/>
  </r>
  <r>
    <n v="2017"/>
    <s v="Clothing"/>
    <x v="1"/>
    <n v="3700"/>
    <n v="0.48"/>
  </r>
  <r>
    <n v="2016"/>
    <s v="Clothing"/>
    <x v="3"/>
    <n v="12000"/>
    <n v="0.66"/>
  </r>
  <r>
    <n v="2015"/>
    <s v="Accessories"/>
    <x v="10"/>
    <n v="10000"/>
    <n v="0.85"/>
  </r>
  <r>
    <n v="2015"/>
    <s v="Components"/>
    <x v="11"/>
    <n v="500"/>
    <n v="0.35"/>
  </r>
  <r>
    <n v="2017"/>
    <s v="Components"/>
    <x v="19"/>
    <n v="21800"/>
    <n v="0.96"/>
  </r>
  <r>
    <n v="2016"/>
    <s v="Components"/>
    <x v="0"/>
    <n v="16400"/>
    <n v="0.7"/>
  </r>
  <r>
    <n v="2016"/>
    <s v="Clothing"/>
    <x v="17"/>
    <n v="400"/>
    <n v="0.2"/>
  </r>
  <r>
    <n v="2015"/>
    <s v="Clothing"/>
    <x v="21"/>
    <n v="3300"/>
    <n v="0.36"/>
  </r>
  <r>
    <n v="2017"/>
    <s v="Components"/>
    <x v="5"/>
    <n v="5000"/>
    <n v="0.35"/>
  </r>
  <r>
    <n v="2016"/>
    <s v="Components"/>
    <x v="5"/>
    <n v="3300"/>
    <n v="0.38"/>
  </r>
  <r>
    <n v="2015"/>
    <s v="Components"/>
    <x v="22"/>
    <n v="800"/>
    <n v="0.36"/>
  </r>
  <r>
    <n v="2016"/>
    <s v="Clothing"/>
    <x v="23"/>
    <n v="15600"/>
    <n v="0.65"/>
  </r>
  <r>
    <n v="2016"/>
    <s v="Components"/>
    <x v="22"/>
    <n v="1500"/>
    <n v="0.17"/>
  </r>
  <r>
    <n v="2017"/>
    <s v="Components"/>
    <x v="22"/>
    <n v="6200"/>
    <n v="0.38"/>
  </r>
  <r>
    <n v="2017"/>
    <s v="Clothing"/>
    <x v="23"/>
    <n v="27000"/>
    <n v="0.88"/>
  </r>
  <r>
    <n v="2016"/>
    <s v="Components"/>
    <x v="24"/>
    <n v="2800"/>
    <n v="0.38"/>
  </r>
  <r>
    <n v="2016"/>
    <s v="Bikes"/>
    <x v="15"/>
    <n v="6700"/>
    <n v="0.46"/>
  </r>
  <r>
    <n v="2015"/>
    <s v="Clothing"/>
    <x v="23"/>
    <n v="13300"/>
    <n v="0.5"/>
  </r>
  <r>
    <n v="2016"/>
    <s v="Accessories"/>
    <x v="14"/>
    <n v="13800"/>
    <n v="0.85"/>
  </r>
  <r>
    <n v="2017"/>
    <s v="Clothing"/>
    <x v="21"/>
    <n v="2400"/>
    <n v="0.35"/>
  </r>
  <r>
    <n v="2015"/>
    <s v="Accessories"/>
    <x v="16"/>
    <n v="300"/>
    <n v="0.05"/>
  </r>
  <r>
    <n v="2015"/>
    <s v="Components"/>
    <x v="24"/>
    <n v="2100"/>
    <n v="0.49"/>
  </r>
  <r>
    <n v="2015"/>
    <s v="Components"/>
    <x v="6"/>
    <n v="2300"/>
    <n v="0.34"/>
  </r>
  <r>
    <n v="2015"/>
    <s v="Components"/>
    <x v="19"/>
    <n v="10000"/>
    <n v="0.66"/>
  </r>
  <r>
    <n v="2015"/>
    <s v="Bikes"/>
    <x v="20"/>
    <n v="500"/>
    <n v="0.22"/>
  </r>
  <r>
    <n v="2016"/>
    <s v="Clothing"/>
    <x v="12"/>
    <n v="3800"/>
    <n v="0.48"/>
  </r>
  <r>
    <n v="2015"/>
    <s v="Bikes"/>
    <x v="15"/>
    <n v="3200"/>
    <n v="0.48"/>
  </r>
  <r>
    <n v="2017"/>
    <s v="Clothing"/>
    <x v="3"/>
    <n v="23000"/>
    <n v="1"/>
  </r>
  <r>
    <n v="2015"/>
    <s v="Clothing"/>
    <x v="2"/>
    <n v="700"/>
    <n v="0.28000000000000003"/>
  </r>
  <r>
    <n v="2015"/>
    <s v="Accessories"/>
    <x v="9"/>
    <n v="1300"/>
    <n v="0.9"/>
  </r>
  <r>
    <n v="2016"/>
    <s v="Clothing"/>
    <x v="21"/>
    <n v="1300"/>
    <n v="0.25"/>
  </r>
  <r>
    <n v="2016"/>
    <s v="Clothing"/>
    <x v="4"/>
    <n v="22100"/>
    <n v="0.99"/>
  </r>
  <r>
    <n v="2017"/>
    <s v="Components"/>
    <x v="24"/>
    <n v="3100"/>
    <n v="0.42"/>
  </r>
  <r>
    <n v="2015"/>
    <s v="Clothing"/>
    <x v="17"/>
    <n v="500"/>
    <n v="0.5"/>
  </r>
  <r>
    <n v="2017"/>
    <s v="Bikes"/>
    <x v="20"/>
    <n v="3100"/>
    <n v="0.22"/>
  </r>
  <r>
    <n v="2015"/>
    <s v="Components"/>
    <x v="0"/>
    <n v="8700"/>
    <n v="0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7A751-E442-43FF-BEA9-2CF6E11CA24E}" name="PivotTable1" cacheId="15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28" firstHeaderRow="1" firstDataRow="1" firstDataCol="1"/>
  <pivotFields count="5">
    <pivotField showAll="0"/>
    <pivotField showAll="0"/>
    <pivotField axis="axisRow" showAll="0" sortType="descending">
      <items count="26">
        <item x="2"/>
        <item x="16"/>
        <item x="11"/>
        <item x="6"/>
        <item x="17"/>
        <item x="15"/>
        <item x="0"/>
        <item x="23"/>
        <item x="5"/>
        <item x="8"/>
        <item x="12"/>
        <item x="9"/>
        <item x="10"/>
        <item x="7"/>
        <item x="22"/>
        <item x="18"/>
        <item x="13"/>
        <item x="24"/>
        <item x="3"/>
        <item x="1"/>
        <item x="4"/>
        <item x="14"/>
        <item x="20"/>
        <item x="2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9" showAll="0"/>
  </pivotFields>
  <rowFields count="1">
    <field x="2"/>
  </rowFields>
  <rowItems count="26">
    <i>
      <x v="21"/>
    </i>
    <i>
      <x v="12"/>
    </i>
    <i>
      <x v="20"/>
    </i>
    <i>
      <x v="11"/>
    </i>
    <i>
      <x v="9"/>
    </i>
    <i>
      <x v="1"/>
    </i>
    <i>
      <x v="7"/>
    </i>
    <i>
      <x v="24"/>
    </i>
    <i>
      <x v="18"/>
    </i>
    <i>
      <x v="15"/>
    </i>
    <i>
      <x v="6"/>
    </i>
    <i>
      <x v="16"/>
    </i>
    <i>
      <x v="5"/>
    </i>
    <i>
      <x v="10"/>
    </i>
    <i>
      <x v="13"/>
    </i>
    <i>
      <x v="3"/>
    </i>
    <i>
      <x v="8"/>
    </i>
    <i>
      <x v="19"/>
    </i>
    <i>
      <x v="14"/>
    </i>
    <i>
      <x v="17"/>
    </i>
    <i>
      <x/>
    </i>
    <i>
      <x v="23"/>
    </i>
    <i>
      <x v="22"/>
    </i>
    <i>
      <x v="2"/>
    </i>
    <i>
      <x v="4"/>
    </i>
    <i t="grand">
      <x/>
    </i>
  </rowItems>
  <colItems count="1">
    <i/>
  </colItems>
  <dataFields count="1">
    <dataField name="Sum of Sales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F6254-6DC0-4831-9D73-33A7C3B6DD32}" name="Table1" displayName="Table1" ref="A1:E76" totalsRowShown="0" headerRowDxfId="5">
  <autoFilter ref="A1:E76" xr:uid="{08EF6254-6DC0-4831-9D73-33A7C3B6DD32}"/>
  <tableColumns count="5">
    <tableColumn id="1" xr3:uid="{D25564D5-39DA-4A75-B5A5-642FC024D39E}" name="Year" dataDxfId="4"/>
    <tableColumn id="2" xr3:uid="{54704C84-256B-49F6-9C47-A3C9EEB90EB1}" name="Category" dataDxfId="3"/>
    <tableColumn id="3" xr3:uid="{1969AD8A-4FDD-463C-96F7-F4758849BF24}" name="Product" dataDxfId="2"/>
    <tableColumn id="4" xr3:uid="{FA1FD81E-CAAB-42DF-AB9B-C10A9E7D603F}" name="Sales" dataDxfId="1"/>
    <tableColumn id="5" xr3:uid="{3D9FFCF6-AA7F-459F-94FE-D4ACDBDC983F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33"/>
  <sheetViews>
    <sheetView tabSelected="1" topLeftCell="A301" workbookViewId="0">
      <selection activeCell="F320" sqref="F316:F320"/>
    </sheetView>
  </sheetViews>
  <sheetFormatPr defaultRowHeight="15"/>
  <cols>
    <col min="2" max="2" width="23.5703125" customWidth="1"/>
    <col min="3" max="3" width="31.42578125" customWidth="1"/>
    <col min="4" max="4" width="21.85546875" customWidth="1"/>
    <col min="5" max="5" width="32" customWidth="1"/>
    <col min="6" max="6" width="30.28515625" customWidth="1"/>
    <col min="7" max="7" width="30" customWidth="1"/>
    <col min="8" max="8" width="22.42578125" customWidth="1"/>
    <col min="9" max="9" width="23.140625" customWidth="1"/>
    <col min="10" max="10" width="20.7109375" customWidth="1"/>
    <col min="11" max="11" width="16.5703125" customWidth="1"/>
    <col min="12" max="12" width="14.42578125" customWidth="1"/>
  </cols>
  <sheetData>
    <row r="3" spans="2:6">
      <c r="B3" t="s">
        <v>0</v>
      </c>
    </row>
    <row r="4" spans="2:6">
      <c r="C4" s="1"/>
      <c r="D4" s="1"/>
      <c r="E4" s="1"/>
    </row>
    <row r="5" spans="2:6">
      <c r="B5" s="2" t="s">
        <v>1</v>
      </c>
      <c r="C5" s="3">
        <v>2</v>
      </c>
      <c r="D5" s="3">
        <v>4</v>
      </c>
      <c r="E5" s="3">
        <v>8</v>
      </c>
      <c r="F5" s="3">
        <v>12</v>
      </c>
    </row>
    <row r="6" spans="2:6">
      <c r="B6" s="2" t="s">
        <v>2</v>
      </c>
      <c r="C6" s="3">
        <v>3.5582000000000003E-2</v>
      </c>
      <c r="D6" s="3">
        <v>2.1298000000000001E-2</v>
      </c>
      <c r="E6" s="3">
        <v>2.2342000000000001E-2</v>
      </c>
      <c r="F6" s="3">
        <v>1.4923000000000001E-2</v>
      </c>
    </row>
    <row r="7" spans="2:6">
      <c r="B7" s="2" t="s">
        <v>3</v>
      </c>
      <c r="C7" s="3">
        <v>3.3843999999999999E-2</v>
      </c>
      <c r="D7" s="3">
        <v>2.2405000000000001E-2</v>
      </c>
      <c r="E7" s="3">
        <v>1.8412999999999999E-2</v>
      </c>
      <c r="F7" s="3">
        <v>1.9172000000000002E-2</v>
      </c>
    </row>
    <row r="8" spans="2:6">
      <c r="B8" s="2" t="s">
        <v>4</v>
      </c>
      <c r="C8" s="3">
        <v>3.7489000000000001E-2</v>
      </c>
      <c r="D8" s="3">
        <v>2.4493000000000001E-2</v>
      </c>
      <c r="E8" s="3">
        <v>1.7721000000000001E-2</v>
      </c>
      <c r="F8" s="3">
        <v>1.5443999999999999E-2</v>
      </c>
    </row>
    <row r="9" spans="2:6">
      <c r="B9" s="15" t="s">
        <v>5</v>
      </c>
      <c r="C9" s="10">
        <v>4.36E-2</v>
      </c>
      <c r="D9" s="10">
        <v>2.6154E-2</v>
      </c>
      <c r="E9" s="10">
        <v>1.5678000000000001E-2</v>
      </c>
      <c r="F9" s="10">
        <v>1.5706999999999999E-2</v>
      </c>
    </row>
    <row r="10" spans="2:6">
      <c r="B10" s="2" t="s">
        <v>6</v>
      </c>
      <c r="C10" s="14">
        <f>MEDIAN(C6:C9)</f>
        <v>3.6535499999999999E-2</v>
      </c>
      <c r="D10" s="3">
        <f>MEDIAN(D6:D9)</f>
        <v>2.3449000000000001E-2</v>
      </c>
      <c r="E10" s="3">
        <f>MEDIAN(E6:E9)</f>
        <v>1.8067E-2</v>
      </c>
      <c r="F10" s="3">
        <f>MEDIAN(F6:F9)</f>
        <v>1.5575499999999999E-2</v>
      </c>
    </row>
    <row r="11" spans="2:6">
      <c r="B11" s="16"/>
      <c r="C11" s="16"/>
      <c r="D11" s="16"/>
      <c r="E11" s="16"/>
      <c r="F11" s="16"/>
    </row>
    <row r="12" spans="2:6">
      <c r="B12" s="16"/>
      <c r="C12" s="16"/>
      <c r="D12" s="16"/>
      <c r="E12" s="16"/>
      <c r="F12" s="16"/>
    </row>
    <row r="13" spans="2:6">
      <c r="B13" s="16"/>
      <c r="C13" s="16"/>
      <c r="D13" s="16"/>
      <c r="E13" s="16"/>
      <c r="F13" s="16"/>
    </row>
    <row r="14" spans="2:6">
      <c r="B14" t="s">
        <v>7</v>
      </c>
    </row>
    <row r="15" spans="2:6">
      <c r="B15" s="17"/>
      <c r="C15" s="18"/>
      <c r="D15" s="18"/>
      <c r="E15" s="18"/>
      <c r="F15" s="17"/>
    </row>
    <row r="16" spans="2:6">
      <c r="B16" s="2" t="s">
        <v>1</v>
      </c>
      <c r="C16" s="3">
        <v>2</v>
      </c>
      <c r="D16" s="3">
        <v>4</v>
      </c>
      <c r="E16" s="3">
        <v>8</v>
      </c>
      <c r="F16" s="3">
        <v>12</v>
      </c>
    </row>
    <row r="17" spans="2:6">
      <c r="B17" s="2" t="s">
        <v>2</v>
      </c>
      <c r="C17" s="3">
        <v>3.3889000000000002E-2</v>
      </c>
      <c r="D17" s="3">
        <v>1.9341000000000001E-2</v>
      </c>
      <c r="E17" s="3">
        <v>1.3271E-2</v>
      </c>
      <c r="F17" s="3">
        <v>1.3198E-2</v>
      </c>
    </row>
    <row r="18" spans="2:6">
      <c r="B18" s="2" t="s">
        <v>3</v>
      </c>
      <c r="C18" s="3">
        <v>2.6605E-2</v>
      </c>
      <c r="D18" s="3">
        <v>1.7309999999999999E-2</v>
      </c>
      <c r="E18" s="3">
        <v>1.4326999999999999E-2</v>
      </c>
      <c r="F18" s="3">
        <v>1.3860000000000001E-2</v>
      </c>
    </row>
    <row r="19" spans="2:6">
      <c r="B19" s="2" t="s">
        <v>4</v>
      </c>
      <c r="C19" s="3">
        <v>3.8460000000000001E-2</v>
      </c>
      <c r="D19" s="3">
        <v>1.7836000000000001E-2</v>
      </c>
      <c r="E19" s="3">
        <v>1.555E-2</v>
      </c>
      <c r="F19" s="3">
        <v>1.4838E-2</v>
      </c>
    </row>
    <row r="20" spans="2:6">
      <c r="B20" s="2" t="s">
        <v>5</v>
      </c>
      <c r="C20" s="3">
        <v>4.7515000000000002E-2</v>
      </c>
      <c r="D20" s="3">
        <v>2.792E-2</v>
      </c>
      <c r="E20" s="3">
        <v>1.4491E-2</v>
      </c>
      <c r="F20" s="3">
        <v>1.7825000000000001E-2</v>
      </c>
    </row>
    <row r="21" spans="2:6">
      <c r="B21" s="2" t="s">
        <v>6</v>
      </c>
      <c r="C21" s="3">
        <f>MEDIAN(C17:C20)</f>
        <v>3.6174499999999998E-2</v>
      </c>
      <c r="D21" s="3">
        <f>MEDIAN(D17:D20)</f>
        <v>1.8588500000000001E-2</v>
      </c>
      <c r="E21" s="3">
        <f>MEDIAN(E17:E20)</f>
        <v>1.4409E-2</v>
      </c>
      <c r="F21" s="3">
        <f>MEDIAN(F17:F20)</f>
        <v>1.4349000000000001E-2</v>
      </c>
    </row>
    <row r="22" spans="2:6">
      <c r="B22" s="17"/>
      <c r="C22" s="17"/>
      <c r="D22" s="17"/>
      <c r="E22" s="17"/>
      <c r="F22" s="17"/>
    </row>
    <row r="23" spans="2:6">
      <c r="B23" s="17"/>
      <c r="C23" s="17"/>
      <c r="D23" s="17"/>
      <c r="E23" s="17"/>
      <c r="F23" s="17"/>
    </row>
    <row r="24" spans="2:6">
      <c r="B24" s="3" t="s">
        <v>8</v>
      </c>
      <c r="C24" s="3" t="s">
        <v>9</v>
      </c>
      <c r="D24" s="3" t="s">
        <v>10</v>
      </c>
    </row>
    <row r="25" spans="2:6">
      <c r="B25" s="3">
        <v>2</v>
      </c>
      <c r="C25" s="3">
        <f>C10</f>
        <v>3.6535499999999999E-2</v>
      </c>
      <c r="D25" s="3">
        <f>C21</f>
        <v>3.6174499999999998E-2</v>
      </c>
    </row>
    <row r="26" spans="2:6">
      <c r="B26" s="3">
        <v>4</v>
      </c>
      <c r="C26" s="3">
        <f>D10</f>
        <v>2.3449000000000001E-2</v>
      </c>
      <c r="D26" s="3">
        <f>D21</f>
        <v>1.8588500000000001E-2</v>
      </c>
    </row>
    <row r="27" spans="2:6">
      <c r="B27" s="3">
        <v>8</v>
      </c>
      <c r="C27" s="3">
        <f>E10</f>
        <v>1.8067E-2</v>
      </c>
      <c r="D27" s="3">
        <f>E21</f>
        <v>1.4409E-2</v>
      </c>
    </row>
    <row r="28" spans="2:6">
      <c r="B28" s="3">
        <v>12</v>
      </c>
      <c r="C28" s="3">
        <f>F10</f>
        <v>1.5575499999999999E-2</v>
      </c>
      <c r="D28" s="3">
        <f>F21</f>
        <v>1.4349000000000001E-2</v>
      </c>
    </row>
    <row r="39" spans="3:7">
      <c r="C39" t="s">
        <v>11</v>
      </c>
    </row>
    <row r="40" spans="3:7">
      <c r="D40" s="1"/>
      <c r="E40" s="1"/>
      <c r="F40" s="1"/>
    </row>
    <row r="41" spans="3:7">
      <c r="C41" s="2" t="s">
        <v>1</v>
      </c>
      <c r="D41" s="3">
        <v>2</v>
      </c>
      <c r="E41" s="3">
        <v>4</v>
      </c>
      <c r="F41" s="3">
        <v>8</v>
      </c>
      <c r="G41" s="3">
        <v>12</v>
      </c>
    </row>
    <row r="42" spans="3:7">
      <c r="C42" s="2" t="s">
        <v>2</v>
      </c>
      <c r="D42" s="3">
        <v>7.99</v>
      </c>
      <c r="E42" s="3">
        <v>8.5500000000000007</v>
      </c>
      <c r="F42" s="3">
        <v>8.59</v>
      </c>
      <c r="G42" s="3">
        <v>8.51</v>
      </c>
    </row>
    <row r="43" spans="3:7">
      <c r="C43" s="2" t="s">
        <v>3</v>
      </c>
      <c r="D43" s="3">
        <v>10.09</v>
      </c>
      <c r="E43" s="3">
        <v>8.4700000000000006</v>
      </c>
      <c r="F43" s="3">
        <v>9.07</v>
      </c>
      <c r="G43" s="3">
        <v>8</v>
      </c>
    </row>
    <row r="44" spans="3:7">
      <c r="C44" s="2" t="s">
        <v>4</v>
      </c>
      <c r="D44" s="3">
        <v>8.15</v>
      </c>
      <c r="E44" s="3">
        <v>8.0500000000000007</v>
      </c>
      <c r="F44" s="3">
        <v>7.94</v>
      </c>
      <c r="G44" s="3">
        <v>8.7799999999999994</v>
      </c>
    </row>
    <row r="45" spans="3:7">
      <c r="C45" s="2" t="s">
        <v>5</v>
      </c>
      <c r="D45" s="3">
        <v>8.77</v>
      </c>
      <c r="E45" s="3">
        <v>8.07</v>
      </c>
      <c r="F45" s="3">
        <v>8.6</v>
      </c>
      <c r="G45" s="3">
        <v>8.4700000000000006</v>
      </c>
    </row>
    <row r="46" spans="3:7">
      <c r="C46" s="2" t="s">
        <v>6</v>
      </c>
      <c r="D46" s="3">
        <f>MEDIAN(D42:D45)</f>
        <v>8.4600000000000009</v>
      </c>
      <c r="E46" s="3">
        <f>MEDIAN(E42:E45)</f>
        <v>8.27</v>
      </c>
      <c r="F46" s="3">
        <f>MEDIAN(F42:F45)</f>
        <v>8.5949999999999989</v>
      </c>
      <c r="G46" s="3">
        <f>MEDIAN(G42:G45)</f>
        <v>8.49</v>
      </c>
    </row>
    <row r="49" spans="3:13">
      <c r="C49" t="s">
        <v>12</v>
      </c>
      <c r="I49" t="s">
        <v>13</v>
      </c>
    </row>
    <row r="50" spans="3:13">
      <c r="D50" s="1"/>
      <c r="E50" s="1"/>
      <c r="F50" s="1"/>
      <c r="J50" s="1"/>
      <c r="K50" s="1"/>
      <c r="L50" s="1"/>
    </row>
    <row r="51" spans="3:13">
      <c r="C51" s="2" t="s">
        <v>1</v>
      </c>
      <c r="D51" s="3">
        <v>2</v>
      </c>
      <c r="E51" s="3">
        <v>4</v>
      </c>
      <c r="F51" s="3">
        <v>8</v>
      </c>
      <c r="G51" s="3">
        <v>12</v>
      </c>
      <c r="I51" s="2" t="s">
        <v>1</v>
      </c>
      <c r="J51" s="3">
        <v>2</v>
      </c>
      <c r="K51" s="3">
        <v>4</v>
      </c>
      <c r="L51" s="3">
        <v>8</v>
      </c>
      <c r="M51" s="3">
        <v>12</v>
      </c>
    </row>
    <row r="52" spans="3:13">
      <c r="C52" s="2" t="s">
        <v>2</v>
      </c>
      <c r="D52" s="3">
        <v>8.1999999999999993</v>
      </c>
      <c r="E52" s="3">
        <v>8.3800000000000008</v>
      </c>
      <c r="F52" s="3">
        <v>8.32</v>
      </c>
      <c r="G52" s="3">
        <v>8.1</v>
      </c>
      <c r="I52" s="2" t="s">
        <v>2</v>
      </c>
      <c r="J52" s="3">
        <v>6.78</v>
      </c>
      <c r="K52" s="3">
        <v>4.29</v>
      </c>
      <c r="L52" s="3">
        <v>3.91</v>
      </c>
      <c r="M52" s="3">
        <v>6.21</v>
      </c>
    </row>
    <row r="53" spans="3:13">
      <c r="C53" s="2" t="s">
        <v>3</v>
      </c>
      <c r="D53" s="3">
        <v>8.23</v>
      </c>
      <c r="E53" s="3">
        <v>9.0500000000000007</v>
      </c>
      <c r="F53" s="3">
        <v>7.88</v>
      </c>
      <c r="G53" s="3">
        <v>8.6</v>
      </c>
      <c r="I53" s="2" t="s">
        <v>3</v>
      </c>
      <c r="J53" s="3">
        <v>6.85</v>
      </c>
      <c r="K53" s="3">
        <v>4.43</v>
      </c>
      <c r="L53" s="3">
        <v>3.77</v>
      </c>
      <c r="M53" s="3">
        <v>6.29</v>
      </c>
    </row>
    <row r="54" spans="3:13">
      <c r="C54" s="2" t="s">
        <v>4</v>
      </c>
      <c r="D54" s="3">
        <v>8.5500000000000007</v>
      </c>
      <c r="E54" s="3">
        <v>8.67</v>
      </c>
      <c r="F54" s="3">
        <v>9.11</v>
      </c>
      <c r="G54" s="3">
        <v>8.33</v>
      </c>
      <c r="I54" s="2" t="s">
        <v>4</v>
      </c>
      <c r="J54" s="3">
        <v>6.77</v>
      </c>
      <c r="K54" s="3">
        <v>4.74</v>
      </c>
      <c r="L54" s="3">
        <v>5.87</v>
      </c>
      <c r="M54" s="3">
        <v>6.52</v>
      </c>
    </row>
    <row r="55" spans="3:13">
      <c r="C55" s="2" t="s">
        <v>5</v>
      </c>
      <c r="D55" s="3">
        <v>8.91</v>
      </c>
      <c r="E55" s="3">
        <v>9.06</v>
      </c>
      <c r="F55" s="3">
        <v>8.91</v>
      </c>
      <c r="G55" s="3">
        <v>8.89</v>
      </c>
      <c r="I55" s="2" t="s">
        <v>5</v>
      </c>
      <c r="J55" s="3">
        <v>6.27</v>
      </c>
      <c r="K55" s="3">
        <v>4.34</v>
      </c>
      <c r="L55" s="3">
        <v>4.16</v>
      </c>
      <c r="M55" s="3">
        <v>6.44</v>
      </c>
    </row>
    <row r="56" spans="3:13">
      <c r="C56" s="2" t="s">
        <v>6</v>
      </c>
      <c r="D56" s="3">
        <f>MEDIAN(D52:D55)</f>
        <v>8.39</v>
      </c>
      <c r="E56" s="3">
        <f>MEDIAN(E52:E55)</f>
        <v>8.86</v>
      </c>
      <c r="F56" s="3">
        <f>MEDIAN(F52:F55)</f>
        <v>8.6150000000000002</v>
      </c>
      <c r="G56" s="3">
        <f>MEDIAN(G52:G55)</f>
        <v>8.4649999999999999</v>
      </c>
      <c r="I56" s="2" t="s">
        <v>6</v>
      </c>
      <c r="J56" s="3">
        <f>MEDIAN(J52:J55)</f>
        <v>6.7750000000000004</v>
      </c>
      <c r="K56" s="3">
        <f>MEDIAN(K52:K55)</f>
        <v>4.3849999999999998</v>
      </c>
      <c r="L56" s="3">
        <f>MEDIAN(L52:L55)</f>
        <v>4.0350000000000001</v>
      </c>
      <c r="M56" s="3">
        <f>MEDIAN(M52:M55)</f>
        <v>6.3650000000000002</v>
      </c>
    </row>
    <row r="59" spans="3:13">
      <c r="C59" t="s">
        <v>14</v>
      </c>
      <c r="I59" t="s">
        <v>15</v>
      </c>
    </row>
    <row r="60" spans="3:13">
      <c r="D60" s="1"/>
      <c r="E60" s="1"/>
      <c r="F60" s="1"/>
      <c r="J60" s="1"/>
      <c r="K60" s="1"/>
      <c r="L60" s="1"/>
    </row>
    <row r="61" spans="3:13">
      <c r="C61" s="2" t="s">
        <v>1</v>
      </c>
      <c r="D61" s="3">
        <v>2</v>
      </c>
      <c r="E61" s="3">
        <v>4</v>
      </c>
      <c r="F61" s="3">
        <v>8</v>
      </c>
      <c r="G61" s="3">
        <v>12</v>
      </c>
      <c r="I61" s="2" t="s">
        <v>1</v>
      </c>
      <c r="J61" s="3">
        <v>2</v>
      </c>
      <c r="K61" s="3">
        <v>4</v>
      </c>
      <c r="L61" s="3">
        <v>8</v>
      </c>
      <c r="M61" s="3">
        <v>12</v>
      </c>
    </row>
    <row r="62" spans="3:13">
      <c r="C62" s="2" t="s">
        <v>2</v>
      </c>
      <c r="D62" s="3">
        <v>30.88</v>
      </c>
      <c r="E62" s="3"/>
      <c r="F62" s="3"/>
      <c r="G62" s="3"/>
      <c r="I62" s="2" t="s">
        <v>2</v>
      </c>
      <c r="J62" s="3">
        <v>6.96</v>
      </c>
      <c r="K62" s="3">
        <v>4.3</v>
      </c>
      <c r="L62" s="3">
        <v>4.04</v>
      </c>
      <c r="M62" s="3">
        <v>6.29</v>
      </c>
    </row>
    <row r="63" spans="3:13">
      <c r="C63" s="2" t="s">
        <v>3</v>
      </c>
      <c r="D63" s="3">
        <v>28.93</v>
      </c>
      <c r="E63" s="3"/>
      <c r="F63" s="3"/>
      <c r="G63" s="3"/>
      <c r="I63" s="2" t="s">
        <v>3</v>
      </c>
      <c r="J63" s="3">
        <v>6.24</v>
      </c>
      <c r="K63" s="3">
        <v>4.21</v>
      </c>
      <c r="L63" s="3">
        <v>4.25</v>
      </c>
      <c r="M63" s="3">
        <v>6.41</v>
      </c>
    </row>
    <row r="64" spans="3:13">
      <c r="C64" s="2" t="s">
        <v>4</v>
      </c>
      <c r="D64" s="3"/>
      <c r="E64" s="3"/>
      <c r="F64" s="3"/>
      <c r="G64" s="3"/>
      <c r="I64" s="2" t="s">
        <v>4</v>
      </c>
      <c r="J64" s="3">
        <v>7.16</v>
      </c>
      <c r="K64" s="3">
        <v>5.25</v>
      </c>
      <c r="L64" s="3">
        <v>4.6399999999999997</v>
      </c>
      <c r="M64" s="3">
        <v>6.63</v>
      </c>
    </row>
    <row r="65" spans="3:13">
      <c r="C65" s="2" t="s">
        <v>5</v>
      </c>
      <c r="D65" s="3"/>
      <c r="E65" s="3"/>
      <c r="F65" s="3"/>
      <c r="G65" s="3"/>
      <c r="I65" s="2" t="s">
        <v>5</v>
      </c>
      <c r="J65" s="3">
        <v>7.07</v>
      </c>
      <c r="K65" s="3">
        <v>5.57</v>
      </c>
      <c r="L65" s="3">
        <v>4.5999999999999996</v>
      </c>
      <c r="M65" s="3">
        <v>6.64</v>
      </c>
    </row>
    <row r="66" spans="3:13">
      <c r="C66" s="2" t="s">
        <v>6</v>
      </c>
      <c r="D66" s="3">
        <f>MEDIAN(D62:D65)</f>
        <v>29.905000000000001</v>
      </c>
      <c r="E66" s="3" t="e">
        <f>MEDIAN(E62:E65)</f>
        <v>#NUM!</v>
      </c>
      <c r="F66" s="3" t="e">
        <f>MEDIAN(F62:F65)</f>
        <v>#NUM!</v>
      </c>
      <c r="G66" s="3" t="e">
        <f>MEDIAN(G62:G65)</f>
        <v>#NUM!</v>
      </c>
      <c r="I66" s="2" t="s">
        <v>6</v>
      </c>
      <c r="J66" s="3">
        <f>MEDIAN(J62:J65)</f>
        <v>7.0150000000000006</v>
      </c>
      <c r="K66" s="3">
        <f>MEDIAN(K62:K65)</f>
        <v>4.7750000000000004</v>
      </c>
      <c r="L66" s="3">
        <f>MEDIAN(L62:L65)</f>
        <v>4.4249999999999998</v>
      </c>
      <c r="M66" s="3">
        <f>MEDIAN(M62:M65)</f>
        <v>6.52</v>
      </c>
    </row>
    <row r="69" spans="3:13">
      <c r="C69" t="s">
        <v>16</v>
      </c>
    </row>
    <row r="70" spans="3:13">
      <c r="D70" s="1"/>
      <c r="E70" s="1"/>
      <c r="F70" s="1"/>
    </row>
    <row r="71" spans="3:13">
      <c r="C71" s="2" t="s">
        <v>1</v>
      </c>
      <c r="D71" s="3">
        <v>2</v>
      </c>
      <c r="E71" s="3">
        <v>4</v>
      </c>
      <c r="F71" s="3">
        <v>8</v>
      </c>
      <c r="G71" s="3">
        <v>12</v>
      </c>
    </row>
    <row r="72" spans="3:13">
      <c r="C72" s="2" t="s">
        <v>2</v>
      </c>
      <c r="D72" s="3">
        <v>6.61</v>
      </c>
      <c r="E72" s="3">
        <v>4.29</v>
      </c>
      <c r="F72" s="3">
        <v>3.84</v>
      </c>
      <c r="G72" s="3">
        <v>5.88</v>
      </c>
    </row>
    <row r="73" spans="3:13">
      <c r="C73" s="2" t="s">
        <v>3</v>
      </c>
      <c r="D73" s="3">
        <v>6.76</v>
      </c>
      <c r="E73" s="3">
        <v>4.9000000000000004</v>
      </c>
      <c r="F73" s="3">
        <v>3.81</v>
      </c>
      <c r="G73" s="3">
        <v>5.18</v>
      </c>
    </row>
    <row r="74" spans="3:13">
      <c r="C74" s="2" t="s">
        <v>4</v>
      </c>
      <c r="D74" s="3">
        <v>6.58</v>
      </c>
      <c r="E74" s="3">
        <v>5.32</v>
      </c>
      <c r="F74" s="3">
        <v>4.24</v>
      </c>
      <c r="G74" s="3">
        <v>5.61</v>
      </c>
    </row>
    <row r="75" spans="3:13">
      <c r="C75" s="2" t="s">
        <v>5</v>
      </c>
      <c r="D75" s="3">
        <v>6.45</v>
      </c>
      <c r="E75" s="3">
        <v>5.35</v>
      </c>
      <c r="F75" s="3">
        <v>4.3600000000000003</v>
      </c>
      <c r="G75" s="3">
        <v>5.56</v>
      </c>
    </row>
    <row r="76" spans="3:13">
      <c r="C76" s="2" t="s">
        <v>6</v>
      </c>
      <c r="D76" s="3">
        <f>MEDIAN(D72:D75)</f>
        <v>6.5950000000000006</v>
      </c>
      <c r="E76" s="3">
        <f>MEDIAN(E72:E75)</f>
        <v>5.1100000000000003</v>
      </c>
      <c r="F76" s="3">
        <f>MEDIAN(F72:F75)</f>
        <v>4.04</v>
      </c>
      <c r="G76" s="3">
        <f>MEDIAN(G72:G75)</f>
        <v>5.585</v>
      </c>
    </row>
    <row r="79" spans="3:13">
      <c r="C79" s="3" t="s">
        <v>8</v>
      </c>
      <c r="D79" s="3" t="s">
        <v>17</v>
      </c>
      <c r="E79" s="3" t="s">
        <v>18</v>
      </c>
      <c r="F79" s="8" t="s">
        <v>19</v>
      </c>
      <c r="G79" s="8" t="s">
        <v>20</v>
      </c>
      <c r="H79" s="8" t="s">
        <v>21</v>
      </c>
    </row>
    <row r="80" spans="3:13">
      <c r="C80" s="3">
        <v>2</v>
      </c>
      <c r="D80" s="3">
        <f>D46</f>
        <v>8.4600000000000009</v>
      </c>
      <c r="E80" s="3">
        <f>D56</f>
        <v>8.39</v>
      </c>
      <c r="F80" s="3">
        <f>J56</f>
        <v>6.7750000000000004</v>
      </c>
      <c r="G80" s="3">
        <f>J66</f>
        <v>7.0150000000000006</v>
      </c>
      <c r="H80" s="3">
        <f>D76</f>
        <v>6.5950000000000006</v>
      </c>
    </row>
    <row r="81" spans="3:8">
      <c r="C81" s="3">
        <v>4</v>
      </c>
      <c r="D81" s="3">
        <f>E46</f>
        <v>8.27</v>
      </c>
      <c r="E81" s="3">
        <f>E56</f>
        <v>8.86</v>
      </c>
      <c r="F81" s="3">
        <f>K56</f>
        <v>4.3849999999999998</v>
      </c>
      <c r="G81" s="3">
        <f>K66</f>
        <v>4.7750000000000004</v>
      </c>
      <c r="H81" s="3">
        <f>E76</f>
        <v>5.1100000000000003</v>
      </c>
    </row>
    <row r="82" spans="3:8">
      <c r="C82" s="3">
        <v>8</v>
      </c>
      <c r="D82" s="3">
        <f>F46</f>
        <v>8.5949999999999989</v>
      </c>
      <c r="E82" s="3">
        <f>F56</f>
        <v>8.6150000000000002</v>
      </c>
      <c r="F82" s="3">
        <f>L56</f>
        <v>4.0350000000000001</v>
      </c>
      <c r="G82" s="3">
        <f>L66</f>
        <v>4.4249999999999998</v>
      </c>
      <c r="H82" s="3">
        <f>F76</f>
        <v>4.04</v>
      </c>
    </row>
    <row r="83" spans="3:8">
      <c r="C83" s="11">
        <v>12</v>
      </c>
      <c r="D83" s="12">
        <f>G46</f>
        <v>8.49</v>
      </c>
      <c r="E83" s="12">
        <f>G56</f>
        <v>8.4649999999999999</v>
      </c>
      <c r="F83" s="12">
        <f>M56</f>
        <v>6.3650000000000002</v>
      </c>
      <c r="G83" s="12">
        <f>M66</f>
        <v>6.52</v>
      </c>
      <c r="H83" s="12">
        <f>G76</f>
        <v>5.585</v>
      </c>
    </row>
    <row r="84" spans="3:8">
      <c r="D84" s="9" t="s">
        <v>22</v>
      </c>
      <c r="E84" s="3">
        <f>D80/E80</f>
        <v>1.0083432657926104</v>
      </c>
      <c r="F84" s="3">
        <f>D80/F80</f>
        <v>1.2487084870848708</v>
      </c>
      <c r="G84" s="3">
        <f>D80/G80</f>
        <v>1.2059871703492517</v>
      </c>
      <c r="H84" s="3">
        <f>D80/H80</f>
        <v>1.2827899924184989</v>
      </c>
    </row>
    <row r="85" spans="3:8">
      <c r="D85" s="9" t="s">
        <v>22</v>
      </c>
      <c r="E85" s="3">
        <f>D81/E81</f>
        <v>0.93340857787810383</v>
      </c>
      <c r="F85" s="3">
        <f>D81/F81</f>
        <v>1.8859749144811859</v>
      </c>
      <c r="G85" s="3">
        <f>D81/G81</f>
        <v>1.7319371727748689</v>
      </c>
      <c r="H85" s="3">
        <f>D81/H81</f>
        <v>1.6183953033268099</v>
      </c>
    </row>
    <row r="86" spans="3:8">
      <c r="D86" s="9" t="s">
        <v>22</v>
      </c>
      <c r="E86" s="3">
        <f>D82/E82</f>
        <v>0.99767846778874036</v>
      </c>
      <c r="F86" s="3">
        <f>D82/F82</f>
        <v>2.1301115241635684</v>
      </c>
      <c r="G86" s="3">
        <f>D82/G82</f>
        <v>1.942372881355932</v>
      </c>
      <c r="H86" s="3">
        <f>D82/H82</f>
        <v>2.1274752475247523</v>
      </c>
    </row>
    <row r="87" spans="3:8">
      <c r="D87" s="13" t="s">
        <v>22</v>
      </c>
      <c r="E87" s="10">
        <f>D83/E83</f>
        <v>1.0029533372711164</v>
      </c>
      <c r="F87" s="10">
        <f>D83/F83</f>
        <v>1.3338570306362922</v>
      </c>
      <c r="G87" s="10">
        <f>D83/G83</f>
        <v>1.3021472392638038</v>
      </c>
      <c r="H87" s="10">
        <f>D83/H83</f>
        <v>1.5201432408236348</v>
      </c>
    </row>
    <row r="88" spans="3:8">
      <c r="D88" s="9" t="s">
        <v>23</v>
      </c>
      <c r="E88" s="3">
        <f>E84/C80</f>
        <v>0.50417163289630518</v>
      </c>
      <c r="F88" s="3">
        <f>F84/C80</f>
        <v>0.62435424354243541</v>
      </c>
      <c r="G88" s="3">
        <f>G84/C80</f>
        <v>0.60299358517462587</v>
      </c>
      <c r="H88" s="3">
        <f>H84/C80</f>
        <v>0.64139499620924945</v>
      </c>
    </row>
    <row r="89" spans="3:8">
      <c r="D89" s="9" t="s">
        <v>23</v>
      </c>
      <c r="E89" s="3">
        <f>E85/C81</f>
        <v>0.23335214446952596</v>
      </c>
      <c r="F89" s="3">
        <f>F85/C81</f>
        <v>0.47149372862029648</v>
      </c>
      <c r="G89" s="3">
        <f>G85/C81</f>
        <v>0.43298429319371723</v>
      </c>
      <c r="H89" s="3">
        <f>H85/C81</f>
        <v>0.40459882583170248</v>
      </c>
    </row>
    <row r="90" spans="3:8">
      <c r="D90" s="9" t="s">
        <v>23</v>
      </c>
      <c r="E90" s="3">
        <f>E86/C82</f>
        <v>0.12470980847359255</v>
      </c>
      <c r="F90" s="3">
        <f>F86/C82</f>
        <v>0.26626394052044605</v>
      </c>
      <c r="G90" s="3">
        <f>G86/C82</f>
        <v>0.2427966101694915</v>
      </c>
      <c r="H90" s="3">
        <f>H86/C82</f>
        <v>0.26593440594059403</v>
      </c>
    </row>
    <row r="91" spans="3:8">
      <c r="D91" s="9" t="s">
        <v>23</v>
      </c>
      <c r="E91" s="3">
        <f>E87/C83</f>
        <v>8.3579444772593034E-2</v>
      </c>
      <c r="F91" s="3">
        <f>F87/C83</f>
        <v>0.11115475255302436</v>
      </c>
      <c r="G91" s="3">
        <f>G87/C83</f>
        <v>0.10851226993865032</v>
      </c>
      <c r="H91" s="3">
        <f>H87/C83</f>
        <v>0.12667860340196957</v>
      </c>
    </row>
    <row r="102" spans="2:12">
      <c r="B102" s="3" t="s">
        <v>8</v>
      </c>
      <c r="C102" s="8" t="s">
        <v>18</v>
      </c>
      <c r="D102" s="8" t="s">
        <v>19</v>
      </c>
      <c r="E102" s="8" t="s">
        <v>20</v>
      </c>
      <c r="F102" s="8" t="s">
        <v>21</v>
      </c>
      <c r="H102" s="3" t="s">
        <v>8</v>
      </c>
      <c r="I102" s="8" t="s">
        <v>18</v>
      </c>
      <c r="J102" s="8" t="s">
        <v>19</v>
      </c>
      <c r="K102" s="8" t="s">
        <v>20</v>
      </c>
      <c r="L102" s="8" t="s">
        <v>21</v>
      </c>
    </row>
    <row r="103" spans="2:12">
      <c r="B103" s="3">
        <v>2</v>
      </c>
      <c r="C103" s="8">
        <f>E88</f>
        <v>0.50417163289630518</v>
      </c>
      <c r="D103" s="3">
        <f>F88</f>
        <v>0.62435424354243541</v>
      </c>
      <c r="E103" s="3">
        <f>G88</f>
        <v>0.60299358517462587</v>
      </c>
      <c r="F103" s="3">
        <f>H88</f>
        <v>0.64139499620924945</v>
      </c>
      <c r="H103" s="3">
        <v>2</v>
      </c>
      <c r="I103" s="8">
        <f>E84</f>
        <v>1.0083432657926104</v>
      </c>
      <c r="J103" s="3">
        <f>F84</f>
        <v>1.2487084870848708</v>
      </c>
      <c r="K103" s="3">
        <f>G84</f>
        <v>1.2059871703492517</v>
      </c>
      <c r="L103" s="3">
        <f>H84</f>
        <v>1.2827899924184989</v>
      </c>
    </row>
    <row r="104" spans="2:12">
      <c r="B104" s="3">
        <v>4</v>
      </c>
      <c r="C104" s="8">
        <f>E89</f>
        <v>0.23335214446952596</v>
      </c>
      <c r="D104" s="3">
        <f>F89</f>
        <v>0.47149372862029648</v>
      </c>
      <c r="E104" s="3">
        <f>G89</f>
        <v>0.43298429319371723</v>
      </c>
      <c r="F104" s="3">
        <f>H89</f>
        <v>0.40459882583170248</v>
      </c>
      <c r="H104" s="3">
        <v>4</v>
      </c>
      <c r="I104" s="8">
        <f>E85</f>
        <v>0.93340857787810383</v>
      </c>
      <c r="J104" s="3">
        <f>F85</f>
        <v>1.8859749144811859</v>
      </c>
      <c r="K104" s="3">
        <f>G85</f>
        <v>1.7319371727748689</v>
      </c>
      <c r="L104" s="3">
        <f>H85</f>
        <v>1.6183953033268099</v>
      </c>
    </row>
    <row r="105" spans="2:12">
      <c r="B105" s="3">
        <v>8</v>
      </c>
      <c r="C105" s="8">
        <f>E90</f>
        <v>0.12470980847359255</v>
      </c>
      <c r="D105" s="3">
        <f>F90</f>
        <v>0.26626394052044605</v>
      </c>
      <c r="E105" s="3">
        <f>G90</f>
        <v>0.2427966101694915</v>
      </c>
      <c r="F105" s="3">
        <f>H90</f>
        <v>0.26593440594059403</v>
      </c>
      <c r="H105" s="3">
        <v>8</v>
      </c>
      <c r="I105" s="8">
        <f>E86</f>
        <v>0.99767846778874036</v>
      </c>
      <c r="J105" s="3">
        <f>F86</f>
        <v>2.1301115241635684</v>
      </c>
      <c r="K105" s="3">
        <f>G86</f>
        <v>1.942372881355932</v>
      </c>
      <c r="L105" s="3">
        <f>H86</f>
        <v>2.1274752475247523</v>
      </c>
    </row>
    <row r="106" spans="2:12">
      <c r="B106" s="11">
        <v>12</v>
      </c>
      <c r="C106" s="8">
        <f>E91</f>
        <v>8.3579444772593034E-2</v>
      </c>
      <c r="D106" s="3">
        <f>F91</f>
        <v>0.11115475255302436</v>
      </c>
      <c r="E106" s="3">
        <f>G91</f>
        <v>0.10851226993865032</v>
      </c>
      <c r="F106" s="3">
        <f>H91</f>
        <v>0.12667860340196957</v>
      </c>
      <c r="H106" s="11">
        <v>12</v>
      </c>
      <c r="I106" s="8">
        <f>E87</f>
        <v>1.0029533372711164</v>
      </c>
      <c r="J106" s="3">
        <f>F87</f>
        <v>1.3338570306362922</v>
      </c>
      <c r="K106" s="3">
        <f>G87</f>
        <v>1.3021472392638038</v>
      </c>
      <c r="L106" s="3">
        <f>H87</f>
        <v>1.5201432408236348</v>
      </c>
    </row>
    <row r="119" spans="4:7">
      <c r="D119" t="s">
        <v>24</v>
      </c>
    </row>
    <row r="121" spans="4:7">
      <c r="D121" s="2" t="s">
        <v>1</v>
      </c>
      <c r="E121" s="3" t="s">
        <v>25</v>
      </c>
      <c r="F121" s="3" t="s">
        <v>26</v>
      </c>
      <c r="G121" s="3" t="s">
        <v>27</v>
      </c>
    </row>
    <row r="122" spans="4:7">
      <c r="D122" s="2" t="s">
        <v>2</v>
      </c>
      <c r="E122" s="3">
        <v>3.3889000000000002E-2</v>
      </c>
      <c r="F122" s="3">
        <v>3.5921000000000002E-2</v>
      </c>
      <c r="G122" s="3">
        <v>3.8965E-2</v>
      </c>
    </row>
    <row r="123" spans="4:7">
      <c r="D123" s="2" t="s">
        <v>3</v>
      </c>
      <c r="E123" s="3">
        <v>2.6605E-2</v>
      </c>
      <c r="F123" s="3">
        <v>3.8176000000000002E-2</v>
      </c>
      <c r="G123" s="3">
        <v>2.6681E-2</v>
      </c>
    </row>
    <row r="124" spans="4:7">
      <c r="D124" s="2" t="s">
        <v>4</v>
      </c>
      <c r="E124" s="3">
        <v>3.8460000000000001E-2</v>
      </c>
      <c r="F124" s="3">
        <v>3.6935000000000003E-2</v>
      </c>
      <c r="G124" s="3">
        <v>3.7716E-2</v>
      </c>
    </row>
    <row r="125" spans="4:7">
      <c r="D125" s="15" t="s">
        <v>5</v>
      </c>
      <c r="E125" s="3">
        <v>4.7515000000000002E-2</v>
      </c>
      <c r="F125" s="10">
        <v>3.2618000000000001E-2</v>
      </c>
      <c r="G125" s="10">
        <v>2.7188E-2</v>
      </c>
    </row>
    <row r="126" spans="4:7">
      <c r="D126" s="2" t="s">
        <v>6</v>
      </c>
      <c r="E126" s="14">
        <f>MEDIAN(E122:E125)</f>
        <v>3.6174499999999998E-2</v>
      </c>
      <c r="F126" s="3">
        <f>MEDIAN(F122:F125)</f>
        <v>3.6428000000000002E-2</v>
      </c>
      <c r="G126" s="3">
        <f>MEDIAN(G122:G125)</f>
        <v>3.2452000000000002E-2</v>
      </c>
    </row>
    <row r="127" spans="4:7">
      <c r="G127" s="19"/>
    </row>
    <row r="128" spans="4:7">
      <c r="F128" s="3">
        <v>2.9158E-2</v>
      </c>
      <c r="G128" s="3">
        <v>1.9424E-2</v>
      </c>
    </row>
    <row r="129" spans="6:7">
      <c r="F129" s="3">
        <v>2.0056000000000001E-2</v>
      </c>
      <c r="G129" s="3">
        <v>2.3784E-2</v>
      </c>
    </row>
    <row r="130" spans="6:7">
      <c r="F130" s="3">
        <v>2.4618000000000001E-2</v>
      </c>
      <c r="G130" s="3">
        <v>1.984E-2</v>
      </c>
    </row>
    <row r="131" spans="6:7">
      <c r="F131" s="10">
        <v>1.9344E-2</v>
      </c>
      <c r="G131" s="10">
        <v>1.9897000000000001E-2</v>
      </c>
    </row>
    <row r="132" spans="6:7">
      <c r="F132" s="3">
        <f>MEDIAN(F128:F131)</f>
        <v>2.2337000000000003E-2</v>
      </c>
      <c r="G132" s="3">
        <f>MEDIAN(G128:G131)</f>
        <v>1.9868500000000001E-2</v>
      </c>
    </row>
    <row r="134" spans="6:7">
      <c r="F134" s="3">
        <v>1.5239000000000001E-2</v>
      </c>
      <c r="G134" s="3">
        <v>1.7634E-2</v>
      </c>
    </row>
    <row r="135" spans="6:7">
      <c r="F135" s="3">
        <v>1.5329000000000001E-2</v>
      </c>
      <c r="G135" s="3">
        <v>1.7021000000000001E-2</v>
      </c>
    </row>
    <row r="136" spans="6:7">
      <c r="F136" s="3">
        <v>1.405E-2</v>
      </c>
      <c r="G136" s="3">
        <v>2.1732999999999999E-2</v>
      </c>
    </row>
    <row r="137" spans="6:7">
      <c r="F137" s="10">
        <v>1.9689999999999999E-2</v>
      </c>
      <c r="G137" s="10">
        <v>1.9040000000000001E-2</v>
      </c>
    </row>
    <row r="138" spans="6:7">
      <c r="F138" s="3">
        <f>MEDIAN(F134:F137)</f>
        <v>1.5284000000000001E-2</v>
      </c>
      <c r="G138" s="3">
        <f>MEDIAN(G134:G137)</f>
        <v>1.8336999999999999E-2</v>
      </c>
    </row>
    <row r="140" spans="6:7">
      <c r="F140" s="3">
        <v>1.7676000000000001E-2</v>
      </c>
      <c r="G140" s="3">
        <v>1.4933999999999999E-2</v>
      </c>
    </row>
    <row r="141" spans="6:7">
      <c r="F141" s="3">
        <v>1.5436E-2</v>
      </c>
      <c r="G141" s="3">
        <v>1.4754E-2</v>
      </c>
    </row>
    <row r="142" spans="6:7">
      <c r="F142" s="3">
        <v>1.6352999999999999E-2</v>
      </c>
      <c r="G142" s="3">
        <v>1.5152000000000001E-2</v>
      </c>
    </row>
    <row r="143" spans="6:7">
      <c r="F143" s="10">
        <v>12982</v>
      </c>
      <c r="G143" s="10">
        <v>1.47E-2</v>
      </c>
    </row>
    <row r="144" spans="6:7">
      <c r="F144" s="3">
        <f>MEDIAN(F140:F143)</f>
        <v>1.7014500000000002E-2</v>
      </c>
      <c r="G144" s="3">
        <f>MEDIAN(G140:G143)</f>
        <v>1.4844E-2</v>
      </c>
    </row>
    <row r="147" spans="4:7">
      <c r="D147" t="s">
        <v>28</v>
      </c>
    </row>
    <row r="149" spans="4:7">
      <c r="D149" s="2" t="s">
        <v>1</v>
      </c>
      <c r="E149" s="3" t="s">
        <v>29</v>
      </c>
      <c r="F149" s="3" t="s">
        <v>30</v>
      </c>
      <c r="G149" s="3" t="s">
        <v>31</v>
      </c>
    </row>
    <row r="150" spans="4:7">
      <c r="D150" s="2" t="s">
        <v>2</v>
      </c>
      <c r="E150" s="3">
        <v>3.5076999999999997E-2</v>
      </c>
      <c r="F150" s="3">
        <v>3.1994000000000002E-2</v>
      </c>
      <c r="G150" s="3">
        <v>2.5891999999999998E-2</v>
      </c>
    </row>
    <row r="151" spans="4:7">
      <c r="D151" s="2" t="s">
        <v>3</v>
      </c>
      <c r="E151" s="3">
        <v>3.7031000000000001E-2</v>
      </c>
      <c r="F151" s="3">
        <v>2.9305999999999999E-2</v>
      </c>
      <c r="G151" s="3">
        <v>3.6067000000000002E-2</v>
      </c>
    </row>
    <row r="152" spans="4:7">
      <c r="D152" s="2" t="s">
        <v>4</v>
      </c>
      <c r="E152" s="3">
        <v>3.3155999999999998E-2</v>
      </c>
      <c r="F152" s="3">
        <v>3.5138000000000003E-2</v>
      </c>
      <c r="G152" s="3">
        <v>3.8866999999999999E-2</v>
      </c>
    </row>
    <row r="153" spans="4:7">
      <c r="D153" s="15" t="s">
        <v>5</v>
      </c>
      <c r="E153" s="3">
        <v>4.2201000000000002E-2</v>
      </c>
      <c r="F153" s="10">
        <v>3.5385E-2</v>
      </c>
      <c r="G153" s="10">
        <v>3.3133000000000003E-2</v>
      </c>
    </row>
    <row r="154" spans="4:7">
      <c r="D154" s="2" t="s">
        <v>6</v>
      </c>
      <c r="E154" s="3">
        <f>MEDIAN(E150:E153)</f>
        <v>3.6054000000000003E-2</v>
      </c>
      <c r="F154" s="3">
        <f>MEDIAN(F150:F153)</f>
        <v>3.3565999999999999E-2</v>
      </c>
      <c r="G154" s="3">
        <f>MEDIAN(G150:G153)</f>
        <v>3.4600000000000006E-2</v>
      </c>
    </row>
    <row r="156" spans="4:7">
      <c r="E156" s="3">
        <v>1.4852000000000001E-2</v>
      </c>
      <c r="F156" s="3">
        <v>1.4099E-2</v>
      </c>
      <c r="G156" s="3">
        <v>1.6688000000000001E-2</v>
      </c>
    </row>
    <row r="157" spans="4:7">
      <c r="E157" s="3">
        <v>1.9460000000000002E-2</v>
      </c>
      <c r="F157" s="3">
        <v>1.9608E-2</v>
      </c>
      <c r="G157" s="3">
        <v>2.4667999999999999E-2</v>
      </c>
    </row>
    <row r="158" spans="4:7">
      <c r="E158" s="3">
        <v>2.2051000000000001E-2</v>
      </c>
      <c r="F158" s="3">
        <v>2.0643999999999999E-2</v>
      </c>
      <c r="G158" s="3">
        <v>2.1478000000000001E-2</v>
      </c>
    </row>
    <row r="159" spans="4:7">
      <c r="E159" s="10">
        <v>1.8297999999999998E-2</v>
      </c>
      <c r="F159" s="10">
        <v>1.7104000000000001E-2</v>
      </c>
      <c r="G159" s="10">
        <v>1.9970000000000002E-2</v>
      </c>
    </row>
    <row r="160" spans="4:7">
      <c r="E160" s="3">
        <f>MEDIAN(E156:E159)</f>
        <v>1.8879E-2</v>
      </c>
      <c r="F160" s="3">
        <f>MEDIAN(F156:F159)</f>
        <v>1.8356000000000001E-2</v>
      </c>
      <c r="G160" s="3">
        <f>MEDIAN(G156:G159)</f>
        <v>2.0723999999999999E-2</v>
      </c>
    </row>
    <row r="162" spans="3:7">
      <c r="E162" s="3">
        <v>1.2049000000000001E-2</v>
      </c>
      <c r="F162" s="3">
        <v>1.3362000000000001E-2</v>
      </c>
      <c r="G162" s="3">
        <v>1.4127000000000001E-2</v>
      </c>
    </row>
    <row r="163" spans="3:7">
      <c r="E163" s="3">
        <v>1.2739E-2</v>
      </c>
      <c r="F163" s="3">
        <v>1.3495E-2</v>
      </c>
      <c r="G163" s="3">
        <v>1.3779E-2</v>
      </c>
    </row>
    <row r="164" spans="3:7">
      <c r="E164" s="3">
        <v>1.3638000000000001E-2</v>
      </c>
      <c r="F164" s="3">
        <v>1.4206E-2</v>
      </c>
      <c r="G164" s="3">
        <v>1.4518E-2</v>
      </c>
    </row>
    <row r="165" spans="3:7">
      <c r="E165" s="10">
        <v>1.3764999999999999E-2</v>
      </c>
      <c r="F165" s="10">
        <v>1.3783999999999999E-2</v>
      </c>
      <c r="G165" s="10">
        <v>1.6507999999999998E-2</v>
      </c>
    </row>
    <row r="166" spans="3:7">
      <c r="E166" s="3">
        <f>MEDIAN(E162:E165)</f>
        <v>1.3188500000000001E-2</v>
      </c>
      <c r="F166" s="3">
        <f>MEDIAN(F162:F165)</f>
        <v>1.3639499999999999E-2</v>
      </c>
      <c r="G166" s="3">
        <f>MEDIAN(G162:G165)</f>
        <v>1.43225E-2</v>
      </c>
    </row>
    <row r="168" spans="3:7">
      <c r="E168" s="3">
        <v>1.133E-2</v>
      </c>
      <c r="F168" s="3">
        <v>1.2206E-2</v>
      </c>
      <c r="G168" s="3">
        <v>1.4255E-2</v>
      </c>
    </row>
    <row r="169" spans="3:7">
      <c r="E169" s="3">
        <v>1.2553999999999999E-2</v>
      </c>
      <c r="F169" s="3">
        <v>1.5296000000000001E-2</v>
      </c>
      <c r="G169" s="3">
        <v>1.4756E-2</v>
      </c>
    </row>
    <row r="170" spans="3:7">
      <c r="E170" s="3">
        <v>1.4687E-2</v>
      </c>
      <c r="F170" s="3">
        <v>1.5152000000000001E-2</v>
      </c>
      <c r="G170" s="3">
        <v>1.5426E-2</v>
      </c>
    </row>
    <row r="171" spans="3:7">
      <c r="E171" s="10">
        <v>1.1972999999999999E-2</v>
      </c>
      <c r="F171" s="10">
        <v>1.2208999999999999E-2</v>
      </c>
      <c r="G171" s="10">
        <v>1.4489E-2</v>
      </c>
    </row>
    <row r="172" spans="3:7">
      <c r="E172" s="3">
        <f>MEDIAN(E168:E171)</f>
        <v>1.22635E-2</v>
      </c>
      <c r="F172" s="3">
        <f>MEDIAN(F168:F171)</f>
        <v>1.36805E-2</v>
      </c>
      <c r="G172" s="3">
        <f>MEDIAN(G168:G171)</f>
        <v>1.46225E-2</v>
      </c>
    </row>
    <row r="176" spans="3:7">
      <c r="C176" t="s">
        <v>32</v>
      </c>
    </row>
    <row r="178" spans="3:11">
      <c r="C178" s="2" t="s">
        <v>1</v>
      </c>
      <c r="D178" s="3" t="s">
        <v>33</v>
      </c>
      <c r="E178" s="3" t="s">
        <v>34</v>
      </c>
      <c r="F178" s="3" t="s">
        <v>35</v>
      </c>
      <c r="H178" s="3" t="s">
        <v>8</v>
      </c>
      <c r="I178" s="3" t="s">
        <v>36</v>
      </c>
      <c r="J178" s="3" t="s">
        <v>37</v>
      </c>
      <c r="K178" s="8" t="s">
        <v>38</v>
      </c>
    </row>
    <row r="179" spans="3:11">
      <c r="C179" s="2" t="s">
        <v>2</v>
      </c>
      <c r="D179" s="3">
        <v>2.5495E-2</v>
      </c>
      <c r="E179" s="3">
        <v>2.5826000000000002E-2</v>
      </c>
      <c r="F179" s="3">
        <v>2.2126E-2</v>
      </c>
      <c r="H179" s="3">
        <v>2</v>
      </c>
      <c r="I179" s="14">
        <f>E126</f>
        <v>3.6174499999999998E-2</v>
      </c>
      <c r="J179" s="3">
        <f>E154</f>
        <v>3.6054000000000003E-2</v>
      </c>
      <c r="K179" s="3">
        <f>D183</f>
        <v>3.1519499999999999E-2</v>
      </c>
    </row>
    <row r="180" spans="3:11">
      <c r="C180" s="2" t="s">
        <v>3</v>
      </c>
      <c r="D180" s="3">
        <v>3.0505000000000001E-2</v>
      </c>
      <c r="E180" s="3">
        <v>3.0866000000000001E-2</v>
      </c>
      <c r="F180" s="3">
        <v>3.5442000000000001E-2</v>
      </c>
      <c r="H180" s="3">
        <v>4</v>
      </c>
      <c r="I180" s="3">
        <f>D21</f>
        <v>1.8588500000000001E-2</v>
      </c>
      <c r="J180" s="3">
        <f>E160</f>
        <v>1.8879E-2</v>
      </c>
      <c r="K180" s="3">
        <f>D189</f>
        <v>1.8366500000000001E-2</v>
      </c>
    </row>
    <row r="181" spans="3:11">
      <c r="C181" s="2" t="s">
        <v>4</v>
      </c>
      <c r="D181" s="3">
        <v>3.2534E-2</v>
      </c>
      <c r="E181" s="3">
        <v>3.4699000000000001E-2</v>
      </c>
      <c r="F181" s="3">
        <v>2.8563000000000002E-2</v>
      </c>
      <c r="H181" s="3">
        <v>8</v>
      </c>
      <c r="I181" s="3">
        <f>E21</f>
        <v>1.4409E-2</v>
      </c>
      <c r="J181" s="3">
        <f>E166</f>
        <v>1.3188500000000001E-2</v>
      </c>
      <c r="K181" s="3">
        <f>D195</f>
        <v>1.3166499999999999E-2</v>
      </c>
    </row>
    <row r="182" spans="3:11">
      <c r="C182" s="15" t="s">
        <v>5</v>
      </c>
      <c r="D182" s="3">
        <v>3.6341999999999999E-2</v>
      </c>
      <c r="E182" s="10">
        <v>3.4403000000000003E-2</v>
      </c>
      <c r="F182" s="10">
        <v>4.1661999999999998E-2</v>
      </c>
      <c r="H182" s="11">
        <v>12</v>
      </c>
      <c r="I182" s="3">
        <f>F21</f>
        <v>1.4349000000000001E-2</v>
      </c>
      <c r="J182" s="3">
        <f>E172</f>
        <v>1.22635E-2</v>
      </c>
      <c r="K182" s="3">
        <f>D201</f>
        <v>1.3117E-2</v>
      </c>
    </row>
    <row r="183" spans="3:11">
      <c r="C183" s="2" t="s">
        <v>6</v>
      </c>
      <c r="D183" s="3">
        <f>MEDIAN(D179:D182)</f>
        <v>3.1519499999999999E-2</v>
      </c>
      <c r="E183" s="3">
        <f>MEDIAN(E179:E182)</f>
        <v>3.2634500000000004E-2</v>
      </c>
      <c r="F183" s="3">
        <f>MEDIAN(F179:F182)</f>
        <v>3.2002500000000003E-2</v>
      </c>
    </row>
    <row r="185" spans="3:11">
      <c r="D185" s="3">
        <v>1.5164E-2</v>
      </c>
      <c r="E185" s="3">
        <v>1.7616E-2</v>
      </c>
      <c r="F185" s="3">
        <v>1.5767E-2</v>
      </c>
      <c r="H185" s="3" t="s">
        <v>8</v>
      </c>
      <c r="I185" s="3" t="s">
        <v>39</v>
      </c>
      <c r="J185" s="3" t="s">
        <v>40</v>
      </c>
      <c r="K185" s="8" t="s">
        <v>41</v>
      </c>
    </row>
    <row r="186" spans="3:11">
      <c r="D186" s="3">
        <v>1.7828E-2</v>
      </c>
      <c r="E186" s="3">
        <v>2.5631999999999999E-2</v>
      </c>
      <c r="F186" s="3">
        <v>2.0999E-2</v>
      </c>
      <c r="H186" s="3">
        <v>2</v>
      </c>
      <c r="I186" s="3">
        <f>F126</f>
        <v>3.6428000000000002E-2</v>
      </c>
      <c r="J186" s="3">
        <f>F154</f>
        <v>3.3565999999999999E-2</v>
      </c>
      <c r="K186" s="3">
        <f>E183</f>
        <v>3.2634500000000004E-2</v>
      </c>
    </row>
    <row r="187" spans="3:11">
      <c r="D187" s="3">
        <v>1.8905000000000002E-2</v>
      </c>
      <c r="E187" s="3">
        <v>1.8402999999999999E-2</v>
      </c>
      <c r="F187" s="3">
        <v>2.2726E-2</v>
      </c>
      <c r="H187" s="3">
        <v>4</v>
      </c>
      <c r="I187" s="3">
        <f>F132</f>
        <v>2.2337000000000003E-2</v>
      </c>
      <c r="J187" s="3">
        <f>F160</f>
        <v>1.8356000000000001E-2</v>
      </c>
      <c r="K187" s="3">
        <f>E189</f>
        <v>1.9774E-2</v>
      </c>
    </row>
    <row r="188" spans="3:11">
      <c r="D188" s="10">
        <v>1.9650000000000001E-2</v>
      </c>
      <c r="E188" s="10">
        <v>2.1145000000000001E-2</v>
      </c>
      <c r="F188" s="10">
        <v>2.3057000000000001E-2</v>
      </c>
      <c r="H188" s="3">
        <v>8</v>
      </c>
      <c r="I188" s="3">
        <f>F138</f>
        <v>1.5284000000000001E-2</v>
      </c>
      <c r="J188" s="3">
        <f>F166</f>
        <v>1.3639499999999999E-2</v>
      </c>
      <c r="K188" s="3">
        <f>E195</f>
        <v>1.3381500000000001E-2</v>
      </c>
    </row>
    <row r="189" spans="3:11">
      <c r="D189" s="3">
        <f>MEDIAN(D185:D188)</f>
        <v>1.8366500000000001E-2</v>
      </c>
      <c r="E189" s="3">
        <f>MEDIAN(E185:E188)</f>
        <v>1.9774E-2</v>
      </c>
      <c r="F189" s="3">
        <f>MEDIAN(F185:F188)</f>
        <v>2.18625E-2</v>
      </c>
      <c r="H189" s="11">
        <v>12</v>
      </c>
      <c r="I189" s="3">
        <f>F144</f>
        <v>1.7014500000000002E-2</v>
      </c>
      <c r="J189" s="3">
        <f>F172</f>
        <v>1.36805E-2</v>
      </c>
      <c r="K189" s="3">
        <f>E201</f>
        <v>1.42855E-2</v>
      </c>
    </row>
    <row r="191" spans="3:11">
      <c r="D191" s="3">
        <v>1.3165E-2</v>
      </c>
      <c r="E191" s="3">
        <v>1.2836E-2</v>
      </c>
      <c r="F191" s="3">
        <v>1.4677000000000001E-2</v>
      </c>
    </row>
    <row r="192" spans="3:11">
      <c r="D192" s="3">
        <v>1.3167999999999999E-2</v>
      </c>
      <c r="E192" s="3">
        <v>1.3136E-2</v>
      </c>
      <c r="F192" s="3">
        <v>1.6566000000000001E-2</v>
      </c>
      <c r="H192" s="3" t="s">
        <v>8</v>
      </c>
      <c r="I192" s="3" t="s">
        <v>42</v>
      </c>
      <c r="J192" s="3" t="s">
        <v>43</v>
      </c>
      <c r="K192" s="8" t="s">
        <v>38</v>
      </c>
    </row>
    <row r="193" spans="4:11">
      <c r="D193" s="3">
        <v>1.2833000000000001E-2</v>
      </c>
      <c r="E193" s="3">
        <v>1.3627E-2</v>
      </c>
      <c r="F193" s="3">
        <v>1.4001E-2</v>
      </c>
      <c r="H193" s="3">
        <v>2</v>
      </c>
      <c r="I193" s="3">
        <f>G126</f>
        <v>3.2452000000000002E-2</v>
      </c>
      <c r="J193" s="3">
        <f>G154</f>
        <v>3.4600000000000006E-2</v>
      </c>
      <c r="K193" s="3">
        <f>F183</f>
        <v>3.2002500000000003E-2</v>
      </c>
    </row>
    <row r="194" spans="4:11">
      <c r="D194" s="10">
        <v>1.3295E-2</v>
      </c>
      <c r="E194" s="10">
        <v>1.469E-2</v>
      </c>
      <c r="F194" s="10">
        <v>1.5429999999999999E-2</v>
      </c>
      <c r="H194" s="3">
        <v>4</v>
      </c>
      <c r="I194" s="3">
        <f>G132</f>
        <v>1.9868500000000001E-2</v>
      </c>
      <c r="J194" s="3">
        <f>G160</f>
        <v>2.0723999999999999E-2</v>
      </c>
      <c r="K194" s="3">
        <f>F189</f>
        <v>2.18625E-2</v>
      </c>
    </row>
    <row r="195" spans="4:11">
      <c r="D195" s="3">
        <f>MEDIAN(D191:D194)</f>
        <v>1.3166499999999999E-2</v>
      </c>
      <c r="E195" s="3">
        <f>MEDIAN(E191:E194)</f>
        <v>1.3381500000000001E-2</v>
      </c>
      <c r="F195" s="3">
        <f>MEDIAN(F191:F194)</f>
        <v>1.5053500000000001E-2</v>
      </c>
      <c r="H195" s="3">
        <v>8</v>
      </c>
      <c r="I195" s="3">
        <f>G138</f>
        <v>1.8336999999999999E-2</v>
      </c>
      <c r="J195" s="3">
        <f>G166</f>
        <v>1.43225E-2</v>
      </c>
      <c r="K195" s="3">
        <f>F195</f>
        <v>1.5053500000000001E-2</v>
      </c>
    </row>
    <row r="196" spans="4:11">
      <c r="H196" s="11">
        <v>12</v>
      </c>
      <c r="I196" s="3">
        <f>G144</f>
        <v>1.4844E-2</v>
      </c>
      <c r="J196" s="3">
        <f>G172</f>
        <v>1.46225E-2</v>
      </c>
      <c r="K196" s="3">
        <f>F201</f>
        <v>1.7068E-2</v>
      </c>
    </row>
    <row r="197" spans="4:11">
      <c r="D197" s="3">
        <v>1.2815999999999999E-2</v>
      </c>
      <c r="E197" s="3">
        <v>1.3476E-2</v>
      </c>
      <c r="F197" s="3">
        <v>1.6572E-2</v>
      </c>
    </row>
    <row r="198" spans="4:11">
      <c r="D198" s="3">
        <v>1.3417999999999999E-2</v>
      </c>
      <c r="E198" s="3">
        <v>1.3239000000000001E-2</v>
      </c>
      <c r="F198" s="3">
        <v>1.5268E-2</v>
      </c>
    </row>
    <row r="199" spans="4:11">
      <c r="D199" s="3">
        <v>1.2285000000000001E-2</v>
      </c>
      <c r="E199" s="3">
        <v>1.5129E-2</v>
      </c>
      <c r="F199" s="3">
        <v>1.8901999999999999E-2</v>
      </c>
    </row>
    <row r="200" spans="4:11">
      <c r="D200" s="10">
        <v>1.3466000000000001E-2</v>
      </c>
      <c r="E200" s="10">
        <v>1.5095000000000001E-2</v>
      </c>
      <c r="F200" s="10">
        <v>1.7564E-2</v>
      </c>
    </row>
    <row r="201" spans="4:11">
      <c r="D201" s="3">
        <f>MEDIAN(D197:D200)</f>
        <v>1.3117E-2</v>
      </c>
      <c r="E201" s="3">
        <f>MEDIAN(E197:E200)</f>
        <v>1.42855E-2</v>
      </c>
      <c r="F201" s="3">
        <f>MEDIAN(F197:F200)</f>
        <v>1.7068E-2</v>
      </c>
    </row>
    <row r="210" spans="2:8">
      <c r="B210" s="2" t="s">
        <v>1</v>
      </c>
      <c r="C210" s="3" t="s">
        <v>44</v>
      </c>
      <c r="D210" s="3" t="s">
        <v>45</v>
      </c>
    </row>
    <row r="211" spans="2:8">
      <c r="B211" s="2" t="s">
        <v>2</v>
      </c>
      <c r="C211" s="3">
        <v>1.341E-3</v>
      </c>
      <c r="D211" s="3">
        <v>2.6080000000000001E-3</v>
      </c>
    </row>
    <row r="212" spans="2:8">
      <c r="B212" s="2" t="s">
        <v>3</v>
      </c>
      <c r="C212" s="3">
        <v>1.6930000000000001E-3</v>
      </c>
      <c r="D212" s="3">
        <v>2.5850000000000001E-3</v>
      </c>
    </row>
    <row r="213" spans="2:8">
      <c r="B213" s="2" t="s">
        <v>4</v>
      </c>
      <c r="C213" s="3">
        <v>1.377E-3</v>
      </c>
      <c r="D213" s="3">
        <v>2.7750000000000001E-3</v>
      </c>
    </row>
    <row r="214" spans="2:8">
      <c r="B214" s="15" t="s">
        <v>5</v>
      </c>
      <c r="C214" s="3">
        <v>1.356E-3</v>
      </c>
      <c r="D214" s="10">
        <v>2.728E-3</v>
      </c>
    </row>
    <row r="215" spans="2:8">
      <c r="B215" s="2" t="s">
        <v>6</v>
      </c>
      <c r="C215" s="3">
        <f>MEDIAN(C211:C214)</f>
        <v>1.3665000000000001E-3</v>
      </c>
      <c r="D215" s="3">
        <f>MEDIAN(D211:D214)</f>
        <v>2.6680000000000002E-3</v>
      </c>
    </row>
    <row r="216" spans="2:8">
      <c r="B216" s="2" t="s">
        <v>2</v>
      </c>
      <c r="C216" s="3">
        <v>1.34E-3</v>
      </c>
      <c r="D216" s="3">
        <v>2.4740000000000001E-3</v>
      </c>
    </row>
    <row r="217" spans="2:8">
      <c r="B217" s="2" t="s">
        <v>3</v>
      </c>
      <c r="C217" s="3">
        <v>1.5430000000000001E-3</v>
      </c>
      <c r="D217" s="3">
        <v>3.0969999999999999E-3</v>
      </c>
    </row>
    <row r="218" spans="2:8">
      <c r="B218" s="2" t="s">
        <v>4</v>
      </c>
      <c r="C218" s="3">
        <v>1.9780000000000002E-3</v>
      </c>
      <c r="D218" s="3">
        <v>2.9989999999999999E-3</v>
      </c>
    </row>
    <row r="219" spans="2:8">
      <c r="B219" s="15" t="s">
        <v>5</v>
      </c>
      <c r="C219" s="3">
        <v>1.5889999999999999E-3</v>
      </c>
      <c r="D219" s="10">
        <v>3.4810000000000002E-3</v>
      </c>
      <c r="F219" s="2" t="s">
        <v>1</v>
      </c>
      <c r="G219" s="3" t="s">
        <v>44</v>
      </c>
      <c r="H219" s="3" t="s">
        <v>45</v>
      </c>
    </row>
    <row r="220" spans="2:8">
      <c r="B220" s="2" t="s">
        <v>6</v>
      </c>
      <c r="C220" s="3">
        <f>MEDIAN(C216:C219)</f>
        <v>1.5660000000000001E-3</v>
      </c>
      <c r="D220" s="3">
        <f>MEDIAN(D216:D219)</f>
        <v>3.0479999999999999E-3</v>
      </c>
      <c r="F220" s="2">
        <v>2</v>
      </c>
      <c r="G220" s="3">
        <f>C215</f>
        <v>1.3665000000000001E-3</v>
      </c>
      <c r="H220" s="3">
        <f>D215</f>
        <v>2.6680000000000002E-3</v>
      </c>
    </row>
    <row r="221" spans="2:8">
      <c r="B221" s="2" t="s">
        <v>2</v>
      </c>
      <c r="C221" s="3">
        <v>2.4550000000000002E-3</v>
      </c>
      <c r="D221" s="3">
        <v>4.9160000000000002E-3</v>
      </c>
      <c r="F221" s="2">
        <v>4</v>
      </c>
      <c r="G221" s="3">
        <f>C220</f>
        <v>1.5660000000000001E-3</v>
      </c>
      <c r="H221" s="3">
        <f>D220</f>
        <v>3.0479999999999999E-3</v>
      </c>
    </row>
    <row r="222" spans="2:8">
      <c r="B222" s="2" t="s">
        <v>3</v>
      </c>
      <c r="C222" s="3">
        <v>2.47E-3</v>
      </c>
      <c r="D222" s="3">
        <v>4.1710000000000002E-3</v>
      </c>
      <c r="F222" s="2">
        <v>8</v>
      </c>
      <c r="G222" s="3">
        <f>C225</f>
        <v>2.4625000000000003E-3</v>
      </c>
      <c r="H222" s="3">
        <f>D225</f>
        <v>4.2040000000000003E-3</v>
      </c>
    </row>
    <row r="223" spans="2:8">
      <c r="B223" s="2" t="s">
        <v>4</v>
      </c>
      <c r="C223" s="3">
        <v>5.6309999999999997E-3</v>
      </c>
      <c r="D223" s="3">
        <v>4.2370000000000003E-3</v>
      </c>
      <c r="F223" s="3">
        <v>12</v>
      </c>
      <c r="G223" s="3">
        <f>C230</f>
        <v>5.2580000000000005E-3</v>
      </c>
      <c r="H223" s="3">
        <f>D230</f>
        <v>3.1570000000000001E-3</v>
      </c>
    </row>
    <row r="224" spans="2:8">
      <c r="B224" s="15" t="s">
        <v>5</v>
      </c>
      <c r="C224" s="3">
        <v>2.4399999999999999E-3</v>
      </c>
      <c r="D224" s="10">
        <v>3.6489999999999999E-3</v>
      </c>
    </row>
    <row r="225" spans="2:5">
      <c r="B225" s="2" t="s">
        <v>6</v>
      </c>
      <c r="C225" s="3">
        <f>MEDIAN(C221:C224)</f>
        <v>2.4625000000000003E-3</v>
      </c>
      <c r="D225" s="3">
        <f>MEDIAN(D221:D224)</f>
        <v>4.2040000000000003E-3</v>
      </c>
    </row>
    <row r="226" spans="2:5">
      <c r="B226" s="2" t="s">
        <v>2</v>
      </c>
      <c r="C226" s="3">
        <v>4.7850000000000002E-3</v>
      </c>
      <c r="D226" s="3">
        <v>2.6410000000000001E-3</v>
      </c>
    </row>
    <row r="227" spans="2:5">
      <c r="B227" s="2" t="s">
        <v>3</v>
      </c>
      <c r="C227" s="3">
        <v>6.0899999999999999E-3</v>
      </c>
      <c r="D227" s="3">
        <v>3.2060000000000001E-3</v>
      </c>
    </row>
    <row r="228" spans="2:5">
      <c r="B228" s="2" t="s">
        <v>4</v>
      </c>
      <c r="C228" s="3">
        <v>4.9950000000000003E-3</v>
      </c>
      <c r="D228" s="3">
        <v>3.3609999999999998E-3</v>
      </c>
    </row>
    <row r="229" spans="2:5">
      <c r="B229" s="15" t="s">
        <v>5</v>
      </c>
      <c r="C229" s="3">
        <v>5.5209999999999999E-3</v>
      </c>
      <c r="D229" s="10">
        <v>3.1080000000000001E-3</v>
      </c>
    </row>
    <row r="230" spans="2:5">
      <c r="B230" s="2" t="s">
        <v>6</v>
      </c>
      <c r="C230" s="3">
        <f>MEDIAN(C226:C229)</f>
        <v>5.2580000000000005E-3</v>
      </c>
      <c r="D230" s="3">
        <f>MEDIAN(D226:D229)</f>
        <v>3.1570000000000001E-3</v>
      </c>
    </row>
    <row r="240" spans="2:5">
      <c r="B240" s="2" t="s">
        <v>1</v>
      </c>
      <c r="C240" s="3" t="s">
        <v>46</v>
      </c>
      <c r="D240" s="3" t="s">
        <v>47</v>
      </c>
      <c r="E240" s="3" t="s">
        <v>48</v>
      </c>
    </row>
    <row r="241" spans="2:11">
      <c r="B241" s="2" t="s">
        <v>2</v>
      </c>
      <c r="C241" s="3">
        <v>2.9E-5</v>
      </c>
      <c r="D241" s="3">
        <v>4.1999999999999998E-5</v>
      </c>
      <c r="E241" s="3">
        <v>2.3499999999999999E-4</v>
      </c>
    </row>
    <row r="242" spans="2:11">
      <c r="B242" s="2" t="s">
        <v>3</v>
      </c>
      <c r="C242" s="3">
        <v>2.1999999999999999E-5</v>
      </c>
      <c r="D242" s="3">
        <v>3.4E-5</v>
      </c>
      <c r="E242" s="3">
        <v>1.4999999999999999E-4</v>
      </c>
    </row>
    <row r="243" spans="2:11">
      <c r="B243" s="2" t="s">
        <v>4</v>
      </c>
      <c r="C243" s="3">
        <v>2.1999999999999999E-5</v>
      </c>
      <c r="D243" s="3">
        <v>3.1000000000000001E-5</v>
      </c>
      <c r="E243" s="3">
        <v>1.2300000000000001E-4</v>
      </c>
    </row>
    <row r="244" spans="2:11">
      <c r="B244" s="15" t="s">
        <v>5</v>
      </c>
      <c r="C244" s="3">
        <v>2.3E-5</v>
      </c>
      <c r="D244" s="10">
        <v>3.0000000000000001E-5</v>
      </c>
      <c r="E244" s="10">
        <v>1.26E-4</v>
      </c>
    </row>
    <row r="245" spans="2:11">
      <c r="B245" s="2" t="s">
        <v>6</v>
      </c>
      <c r="C245" s="3">
        <f>MEDIAN(C241:C244)</f>
        <v>2.2499999999999998E-5</v>
      </c>
      <c r="D245" s="3">
        <f>MEDIAN(D241:D244)</f>
        <v>3.2500000000000004E-5</v>
      </c>
      <c r="E245" s="3">
        <f>MEDIAN(E241:E244)</f>
        <v>1.3799999999999999E-4</v>
      </c>
      <c r="H245" s="2" t="s">
        <v>1</v>
      </c>
      <c r="I245" s="3" t="str">
        <f>C240</f>
        <v>QSORT</v>
      </c>
      <c r="J245" s="3" t="str">
        <f>D240</f>
        <v>MERGESORT</v>
      </c>
      <c r="K245" s="3" t="str">
        <f>E240</f>
        <v>MERGESORT_TASK</v>
      </c>
    </row>
    <row r="246" spans="2:11">
      <c r="B246" s="2" t="s">
        <v>2</v>
      </c>
      <c r="C246" s="3">
        <v>2.1999999999999999E-5</v>
      </c>
      <c r="D246" s="3">
        <v>3.4E-5</v>
      </c>
      <c r="E246" s="3">
        <v>1.56E-4</v>
      </c>
      <c r="H246" s="2">
        <v>2</v>
      </c>
      <c r="I246" s="3">
        <f>C245</f>
        <v>2.2499999999999998E-5</v>
      </c>
      <c r="J246" s="3">
        <f>D245</f>
        <v>3.2500000000000004E-5</v>
      </c>
      <c r="K246" s="3">
        <f>E245</f>
        <v>1.3799999999999999E-4</v>
      </c>
    </row>
    <row r="247" spans="2:11">
      <c r="B247" s="2" t="s">
        <v>3</v>
      </c>
      <c r="C247" s="3">
        <v>2.0000000000000002E-5</v>
      </c>
      <c r="D247" s="3">
        <v>3.3000000000000003E-5</v>
      </c>
      <c r="E247" s="3">
        <v>1.7000000000000001E-4</v>
      </c>
      <c r="H247" s="2">
        <v>4</v>
      </c>
      <c r="I247" s="3">
        <f>C250</f>
        <v>2.2499999999999998E-5</v>
      </c>
      <c r="J247" s="3">
        <f>D250</f>
        <v>3.3500000000000001E-5</v>
      </c>
      <c r="K247" s="3">
        <f>E250</f>
        <v>1.63E-4</v>
      </c>
    </row>
    <row r="248" spans="2:11">
      <c r="B248" s="2" t="s">
        <v>4</v>
      </c>
      <c r="C248" s="3">
        <v>2.6999999999999999E-5</v>
      </c>
      <c r="D248" s="3">
        <v>3.3000000000000003E-5</v>
      </c>
      <c r="E248" s="3">
        <v>1.74E-4</v>
      </c>
      <c r="H248" s="2">
        <v>8</v>
      </c>
      <c r="I248" s="3">
        <f>C255</f>
        <v>2.4000000000000001E-5</v>
      </c>
      <c r="J248" s="3">
        <f>D255</f>
        <v>3.4499999999999998E-5</v>
      </c>
      <c r="K248" s="3">
        <f>E255</f>
        <v>1.65E-4</v>
      </c>
    </row>
    <row r="249" spans="2:11">
      <c r="B249" s="15" t="s">
        <v>5</v>
      </c>
      <c r="C249" s="3">
        <v>2.3E-5</v>
      </c>
      <c r="D249" s="10">
        <v>5.1E-5</v>
      </c>
      <c r="E249" s="10">
        <v>1.3999999999999999E-4</v>
      </c>
      <c r="H249" s="3">
        <v>12</v>
      </c>
      <c r="I249" s="3">
        <f>C260</f>
        <v>2.5999999999999998E-5</v>
      </c>
      <c r="J249" s="3">
        <f>D260</f>
        <v>3.8500000000000001E-5</v>
      </c>
      <c r="K249" s="3">
        <f>E260</f>
        <v>1.9699999999999999E-4</v>
      </c>
    </row>
    <row r="250" spans="2:11">
      <c r="B250" s="2" t="s">
        <v>6</v>
      </c>
      <c r="C250" s="3">
        <f>MEDIAN(C246:C249)</f>
        <v>2.2499999999999998E-5</v>
      </c>
      <c r="D250" s="3">
        <f>MEDIAN(D246:D249)</f>
        <v>3.3500000000000001E-5</v>
      </c>
      <c r="E250" s="3">
        <f>MEDIAN(E246:E249)</f>
        <v>1.63E-4</v>
      </c>
    </row>
    <row r="251" spans="2:11">
      <c r="B251" s="2" t="s">
        <v>2</v>
      </c>
      <c r="C251" s="3">
        <v>3.4E-5</v>
      </c>
      <c r="D251" s="3">
        <v>3.8000000000000002E-5</v>
      </c>
      <c r="E251" s="3">
        <v>1.5699999999999999E-4</v>
      </c>
    </row>
    <row r="252" spans="2:11">
      <c r="B252" s="2" t="s">
        <v>3</v>
      </c>
      <c r="C252" s="3">
        <v>2.4000000000000001E-5</v>
      </c>
      <c r="D252" s="3">
        <v>3.4999999999999997E-5</v>
      </c>
      <c r="E252" s="3">
        <v>1.503E-3</v>
      </c>
    </row>
    <row r="253" spans="2:11">
      <c r="B253" s="2" t="s">
        <v>4</v>
      </c>
      <c r="C253" s="3">
        <v>2.1999999999999999E-5</v>
      </c>
      <c r="D253" s="3">
        <v>3.4E-5</v>
      </c>
      <c r="E253" s="3">
        <v>1.73E-4</v>
      </c>
    </row>
    <row r="254" spans="2:11">
      <c r="B254" s="15" t="s">
        <v>5</v>
      </c>
      <c r="C254" s="3">
        <v>2.4000000000000001E-5</v>
      </c>
      <c r="D254" s="10">
        <v>3.4E-5</v>
      </c>
      <c r="E254" s="10">
        <v>1.44E-4</v>
      </c>
    </row>
    <row r="255" spans="2:11">
      <c r="B255" s="2" t="s">
        <v>6</v>
      </c>
      <c r="C255" s="3">
        <f>MEDIAN(C251:C254)</f>
        <v>2.4000000000000001E-5</v>
      </c>
      <c r="D255" s="3">
        <f>MEDIAN(D251:D254)</f>
        <v>3.4499999999999998E-5</v>
      </c>
      <c r="E255" s="3">
        <f>MEDIAN(E251:E254)</f>
        <v>1.65E-4</v>
      </c>
    </row>
    <row r="256" spans="2:11">
      <c r="B256" s="2" t="s">
        <v>2</v>
      </c>
      <c r="C256" s="3">
        <v>2.1999999999999999E-5</v>
      </c>
      <c r="D256" s="3">
        <v>3.3000000000000003E-5</v>
      </c>
      <c r="E256" s="3">
        <v>2.33E-4</v>
      </c>
    </row>
    <row r="257" spans="2:5">
      <c r="B257" s="2" t="s">
        <v>3</v>
      </c>
      <c r="C257" s="3">
        <v>2.5999999999999998E-5</v>
      </c>
      <c r="D257" s="3">
        <v>3.8000000000000002E-5</v>
      </c>
      <c r="E257" s="3">
        <v>1.9799999999999999E-4</v>
      </c>
    </row>
    <row r="258" spans="2:5">
      <c r="B258" s="2" t="s">
        <v>4</v>
      </c>
      <c r="C258" s="3">
        <v>2.5999999999999998E-5</v>
      </c>
      <c r="D258" s="3">
        <v>4.0000000000000003E-5</v>
      </c>
      <c r="E258" s="3">
        <v>1.9599999999999999E-4</v>
      </c>
    </row>
    <row r="259" spans="2:5">
      <c r="B259" s="15" t="s">
        <v>5</v>
      </c>
      <c r="C259" s="3">
        <v>2.5999999999999998E-5</v>
      </c>
      <c r="D259" s="10">
        <v>3.8999999999999999E-5</v>
      </c>
      <c r="E259" s="10">
        <v>1.9000000000000001E-4</v>
      </c>
    </row>
    <row r="260" spans="2:5">
      <c r="B260" s="2" t="s">
        <v>6</v>
      </c>
      <c r="C260" s="3">
        <f>MEDIAN(C256:C259)</f>
        <v>2.5999999999999998E-5</v>
      </c>
      <c r="D260" s="3">
        <f>MEDIAN(D256:D259)</f>
        <v>3.8500000000000001E-5</v>
      </c>
      <c r="E260" s="3">
        <f>MEDIAN(E256:E259)</f>
        <v>1.9699999999999999E-4</v>
      </c>
    </row>
    <row r="276" spans="2:8">
      <c r="B276" s="2" t="s">
        <v>1</v>
      </c>
      <c r="C276" s="3" t="s">
        <v>49</v>
      </c>
      <c r="D276" s="3" t="s">
        <v>45</v>
      </c>
      <c r="F276" s="2" t="s">
        <v>1</v>
      </c>
      <c r="G276" s="3" t="s">
        <v>50</v>
      </c>
      <c r="H276" s="3" t="s">
        <v>51</v>
      </c>
    </row>
    <row r="277" spans="2:8">
      <c r="B277" s="2" t="s">
        <v>2</v>
      </c>
      <c r="C277" s="3">
        <v>1.341E-3</v>
      </c>
      <c r="D277" s="3">
        <v>1.2390000000000001E-3</v>
      </c>
      <c r="F277" s="2">
        <v>2</v>
      </c>
      <c r="G277" s="3">
        <f>C281</f>
        <v>1.3665000000000001E-3</v>
      </c>
      <c r="H277" s="3">
        <f>D281</f>
        <v>2.271E-3</v>
      </c>
    </row>
    <row r="278" spans="2:8">
      <c r="B278" s="2" t="s">
        <v>3</v>
      </c>
      <c r="C278" s="3">
        <v>1.6930000000000001E-3</v>
      </c>
      <c r="D278" s="3">
        <v>1.5900000000000001E-3</v>
      </c>
      <c r="F278" s="2">
        <v>4</v>
      </c>
      <c r="G278" s="3">
        <f>C286</f>
        <v>1.5660000000000001E-3</v>
      </c>
      <c r="H278" s="3">
        <f>D286</f>
        <v>1.5455E-3</v>
      </c>
    </row>
    <row r="279" spans="2:8">
      <c r="B279" s="2" t="s">
        <v>4</v>
      </c>
      <c r="C279" s="3">
        <v>1.377E-3</v>
      </c>
      <c r="D279" s="3">
        <v>1.358E-3</v>
      </c>
      <c r="F279" s="2">
        <v>8</v>
      </c>
      <c r="G279" s="3">
        <f>C291</f>
        <v>2.4625000000000003E-3</v>
      </c>
      <c r="H279" s="3">
        <f>D291</f>
        <v>2.271E-3</v>
      </c>
    </row>
    <row r="280" spans="2:8">
      <c r="B280" s="15" t="s">
        <v>5</v>
      </c>
      <c r="C280" s="3">
        <v>1.356E-3</v>
      </c>
      <c r="D280" s="10">
        <v>1.1999999999999999E-3</v>
      </c>
      <c r="F280" s="3">
        <v>12</v>
      </c>
      <c r="G280" s="3">
        <f>C296</f>
        <v>5.2580000000000005E-3</v>
      </c>
      <c r="H280" s="3">
        <f>D296</f>
        <v>5.7404999999999999E-3</v>
      </c>
    </row>
    <row r="281" spans="2:8">
      <c r="B281" s="2" t="s">
        <v>6</v>
      </c>
      <c r="C281" s="3">
        <f>MEDIAN(C277:C280)</f>
        <v>1.3665000000000001E-3</v>
      </c>
      <c r="D281" s="3">
        <f>MEDIAN(D287:D290)</f>
        <v>2.271E-3</v>
      </c>
    </row>
    <row r="282" spans="2:8">
      <c r="B282" s="2" t="s">
        <v>2</v>
      </c>
      <c r="C282" s="3">
        <v>1.34E-3</v>
      </c>
      <c r="D282" s="3">
        <v>1.2329999999999999E-3</v>
      </c>
    </row>
    <row r="283" spans="2:8">
      <c r="B283" s="2" t="s">
        <v>3</v>
      </c>
      <c r="C283" s="3">
        <v>1.5430000000000001E-3</v>
      </c>
      <c r="D283" s="3">
        <v>1.5410000000000001E-3</v>
      </c>
    </row>
    <row r="284" spans="2:8">
      <c r="B284" s="2" t="s">
        <v>4</v>
      </c>
      <c r="C284" s="3">
        <v>1.9780000000000002E-3</v>
      </c>
      <c r="D284" s="3">
        <v>2.0219999999999999E-3</v>
      </c>
    </row>
    <row r="285" spans="2:8">
      <c r="B285" s="15" t="s">
        <v>5</v>
      </c>
      <c r="C285" s="3">
        <v>1.5889999999999999E-3</v>
      </c>
      <c r="D285" s="10">
        <v>1.5499999999999999E-3</v>
      </c>
    </row>
    <row r="286" spans="2:8">
      <c r="B286" s="2" t="s">
        <v>6</v>
      </c>
      <c r="C286" s="3">
        <f>MEDIAN(C282:C285)</f>
        <v>1.5660000000000001E-3</v>
      </c>
      <c r="D286" s="3">
        <f>MEDIAN(D282:D285)</f>
        <v>1.5455E-3</v>
      </c>
    </row>
    <row r="287" spans="2:8">
      <c r="B287" s="2" t="s">
        <v>2</v>
      </c>
      <c r="C287" s="3">
        <v>2.4550000000000002E-3</v>
      </c>
      <c r="D287" s="3">
        <v>2.4269999999999999E-3</v>
      </c>
    </row>
    <row r="288" spans="2:8">
      <c r="B288" s="2" t="s">
        <v>3</v>
      </c>
      <c r="C288" s="3">
        <v>2.47E-3</v>
      </c>
      <c r="D288" s="3">
        <v>2.1150000000000001E-3</v>
      </c>
    </row>
    <row r="289" spans="2:4">
      <c r="B289" s="2" t="s">
        <v>4</v>
      </c>
      <c r="C289" s="3">
        <v>5.6309999999999997E-3</v>
      </c>
      <c r="D289" s="3">
        <v>1.9750000000000002E-3</v>
      </c>
    </row>
    <row r="290" spans="2:4">
      <c r="B290" s="15" t="s">
        <v>5</v>
      </c>
      <c r="C290" s="3">
        <v>2.4399999999999999E-3</v>
      </c>
      <c r="D290" s="10">
        <v>3.1120000000000002E-3</v>
      </c>
    </row>
    <row r="291" spans="2:4">
      <c r="B291" s="2" t="s">
        <v>6</v>
      </c>
      <c r="C291" s="3">
        <f>MEDIAN(C287:C290)</f>
        <v>2.4625000000000003E-3</v>
      </c>
      <c r="D291" s="3">
        <f>MEDIAN(D287:D290)</f>
        <v>2.271E-3</v>
      </c>
    </row>
    <row r="292" spans="2:4">
      <c r="B292" s="2" t="s">
        <v>2</v>
      </c>
      <c r="C292" s="3">
        <v>4.7850000000000002E-3</v>
      </c>
      <c r="D292" s="3">
        <v>5.7879999999999997E-3</v>
      </c>
    </row>
    <row r="293" spans="2:4">
      <c r="B293" s="2" t="s">
        <v>3</v>
      </c>
      <c r="C293" s="3">
        <v>6.0899999999999999E-3</v>
      </c>
      <c r="D293" s="3">
        <v>5.6930000000000001E-3</v>
      </c>
    </row>
    <row r="294" spans="2:4">
      <c r="B294" s="2" t="s">
        <v>4</v>
      </c>
      <c r="C294" s="3">
        <v>4.9950000000000003E-3</v>
      </c>
      <c r="D294" s="3">
        <v>6.6109999999999997E-3</v>
      </c>
    </row>
    <row r="295" spans="2:4">
      <c r="B295" s="15" t="s">
        <v>5</v>
      </c>
      <c r="C295" s="3">
        <v>5.5209999999999999E-3</v>
      </c>
      <c r="D295" s="10">
        <v>5.6039999999999996E-3</v>
      </c>
    </row>
    <row r="296" spans="2:4">
      <c r="B296" s="2" t="s">
        <v>6</v>
      </c>
      <c r="C296" s="3">
        <f>MEDIAN(C292:C295)</f>
        <v>5.2580000000000005E-3</v>
      </c>
      <c r="D296" s="3">
        <f>MEDIAN(D292:D295)</f>
        <v>5.7404999999999999E-3</v>
      </c>
    </row>
    <row r="305" spans="2:6">
      <c r="B305" s="20" t="s">
        <v>1</v>
      </c>
      <c r="C305" s="3" t="s">
        <v>52</v>
      </c>
      <c r="D305" s="21" t="s">
        <v>53</v>
      </c>
      <c r="E305" s="3" t="s">
        <v>54</v>
      </c>
      <c r="F305" s="3" t="s">
        <v>55</v>
      </c>
    </row>
    <row r="306" spans="2:6">
      <c r="B306" s="2" t="s">
        <v>2</v>
      </c>
      <c r="C306" s="11">
        <v>10.61</v>
      </c>
      <c r="D306" s="3">
        <v>9.73</v>
      </c>
      <c r="E306" s="3">
        <v>10.58</v>
      </c>
      <c r="F306" s="3">
        <v>6.49</v>
      </c>
    </row>
    <row r="307" spans="2:6">
      <c r="B307" s="2" t="s">
        <v>3</v>
      </c>
      <c r="C307" s="3">
        <v>12.14</v>
      </c>
      <c r="D307" s="3">
        <v>11.17</v>
      </c>
      <c r="E307" s="3">
        <v>10.79</v>
      </c>
      <c r="F307" s="3">
        <v>7.79</v>
      </c>
    </row>
    <row r="308" spans="2:6">
      <c r="B308" s="2" t="s">
        <v>4</v>
      </c>
      <c r="C308" s="3">
        <v>10.19</v>
      </c>
      <c r="D308" s="3">
        <v>10.59</v>
      </c>
      <c r="E308" s="3">
        <v>10.88</v>
      </c>
      <c r="F308" s="3">
        <v>7.84</v>
      </c>
    </row>
    <row r="309" spans="2:6">
      <c r="B309" s="15" t="s">
        <v>5</v>
      </c>
      <c r="C309" s="3">
        <v>11.54</v>
      </c>
      <c r="D309" s="3">
        <v>10.79</v>
      </c>
      <c r="E309" s="10">
        <v>12.73</v>
      </c>
      <c r="F309" s="10">
        <v>7.65</v>
      </c>
    </row>
    <row r="310" spans="2:6">
      <c r="B310" s="2" t="s">
        <v>6</v>
      </c>
      <c r="C310" s="3">
        <f>MEDIAN(C306:C309)</f>
        <v>11.074999999999999</v>
      </c>
      <c r="D310" s="3">
        <f>MEDIAN(D306:D309)</f>
        <v>10.69</v>
      </c>
      <c r="E310" s="3">
        <f>MEDIAN(E316:E319)</f>
        <v>5.875</v>
      </c>
      <c r="F310" s="3">
        <f>MEDIAN(F316:F319)</f>
        <v>3.4649999999999999</v>
      </c>
    </row>
    <row r="311" spans="2:6">
      <c r="B311" s="2" t="s">
        <v>2</v>
      </c>
      <c r="C311" s="3">
        <v>6.41</v>
      </c>
      <c r="D311" s="3">
        <v>5.94</v>
      </c>
      <c r="E311" s="3">
        <v>5.9</v>
      </c>
      <c r="F311" s="3">
        <v>3.58</v>
      </c>
    </row>
    <row r="312" spans="2:6">
      <c r="B312" s="2" t="s">
        <v>3</v>
      </c>
      <c r="C312" s="3">
        <v>7.82</v>
      </c>
      <c r="D312" s="3">
        <v>7.71</v>
      </c>
      <c r="E312" s="3">
        <v>7.32</v>
      </c>
      <c r="F312" s="3">
        <v>4.8600000000000003</v>
      </c>
    </row>
    <row r="313" spans="2:6">
      <c r="B313" s="2" t="s">
        <v>4</v>
      </c>
      <c r="C313" s="3">
        <v>7.85</v>
      </c>
      <c r="D313" s="3">
        <v>7.63</v>
      </c>
      <c r="E313" s="3">
        <v>6.87</v>
      </c>
      <c r="F313" s="3">
        <v>4.5</v>
      </c>
    </row>
    <row r="314" spans="2:6">
      <c r="B314" s="15" t="s">
        <v>5</v>
      </c>
      <c r="C314" s="3">
        <v>7.28</v>
      </c>
      <c r="D314" s="3">
        <v>7.56</v>
      </c>
      <c r="E314" s="10">
        <v>6.82</v>
      </c>
      <c r="F314" s="10">
        <v>4.68</v>
      </c>
    </row>
    <row r="315" spans="2:6">
      <c r="B315" s="2" t="s">
        <v>6</v>
      </c>
      <c r="C315" s="3">
        <f>MEDIAN(C311:C314)</f>
        <v>7.5500000000000007</v>
      </c>
      <c r="D315" s="3">
        <f>MEDIAN(D311:D314)</f>
        <v>7.5949999999999998</v>
      </c>
      <c r="E315" s="3">
        <f>MEDIAN(E311:E314)</f>
        <v>6.8450000000000006</v>
      </c>
      <c r="F315" s="3">
        <f>MEDIAN(F311:F314)</f>
        <v>4.59</v>
      </c>
    </row>
    <row r="316" spans="2:6">
      <c r="B316" s="2" t="s">
        <v>2</v>
      </c>
      <c r="C316" s="3">
        <v>5.8</v>
      </c>
      <c r="D316" s="3">
        <v>5.07</v>
      </c>
      <c r="E316" s="3">
        <v>4.4400000000000004</v>
      </c>
      <c r="F316" s="3">
        <v>2.7</v>
      </c>
    </row>
    <row r="317" spans="2:6">
      <c r="B317" s="2" t="s">
        <v>3</v>
      </c>
      <c r="C317" s="3">
        <v>6.98</v>
      </c>
      <c r="D317" s="3">
        <v>6.43</v>
      </c>
      <c r="E317" s="3">
        <v>6.12</v>
      </c>
      <c r="F317" s="3">
        <v>3.6</v>
      </c>
    </row>
    <row r="318" spans="2:6">
      <c r="B318" s="2" t="s">
        <v>4</v>
      </c>
      <c r="C318" s="3">
        <v>7.16</v>
      </c>
      <c r="D318" s="3">
        <v>6.55</v>
      </c>
      <c r="E318" s="3">
        <v>5.63</v>
      </c>
      <c r="F318" s="3">
        <v>3.49</v>
      </c>
    </row>
    <row r="319" spans="2:6">
      <c r="B319" s="15" t="s">
        <v>5</v>
      </c>
      <c r="C319" s="3">
        <v>7.04</v>
      </c>
      <c r="D319" s="3">
        <v>6.59</v>
      </c>
      <c r="E319" s="10">
        <v>6.14</v>
      </c>
      <c r="F319" s="10">
        <v>3.44</v>
      </c>
    </row>
    <row r="320" spans="2:6">
      <c r="B320" s="2" t="s">
        <v>6</v>
      </c>
      <c r="C320" s="3">
        <f>MEDIAN(C316:C319)</f>
        <v>7.01</v>
      </c>
      <c r="D320" s="3">
        <f>MEDIAN(D316:D319)</f>
        <v>6.49</v>
      </c>
      <c r="E320" s="3">
        <f>MEDIAN(E316:E319)</f>
        <v>5.875</v>
      </c>
      <c r="F320" s="3">
        <f>MEDIAN(F316:F319)</f>
        <v>3.4649999999999999</v>
      </c>
    </row>
    <row r="321" spans="2:6">
      <c r="B321" s="2" t="s">
        <v>2</v>
      </c>
      <c r="C321" s="3">
        <v>8.2100000000000009</v>
      </c>
      <c r="D321" s="3">
        <v>7.04</v>
      </c>
      <c r="E321" s="3">
        <v>6.53</v>
      </c>
      <c r="F321" s="3">
        <v>2.98</v>
      </c>
    </row>
    <row r="322" spans="2:6">
      <c r="B322" s="2" t="s">
        <v>3</v>
      </c>
      <c r="C322" s="3">
        <v>9.0500000000000007</v>
      </c>
      <c r="D322" s="3">
        <v>8.08</v>
      </c>
      <c r="E322" s="3">
        <v>7.2</v>
      </c>
      <c r="F322" s="3">
        <v>3.42</v>
      </c>
    </row>
    <row r="323" spans="2:6">
      <c r="B323" s="2" t="s">
        <v>4</v>
      </c>
      <c r="C323" s="3">
        <v>8.98</v>
      </c>
      <c r="D323" s="3">
        <v>8</v>
      </c>
      <c r="E323" s="3">
        <v>7.46</v>
      </c>
      <c r="F323" s="3">
        <v>3.4</v>
      </c>
    </row>
    <row r="324" spans="2:6">
      <c r="B324" s="15" t="s">
        <v>5</v>
      </c>
      <c r="C324" s="3">
        <v>9.66</v>
      </c>
      <c r="D324" s="3">
        <v>7.46</v>
      </c>
      <c r="E324" s="10">
        <v>7.93</v>
      </c>
      <c r="F324" s="10">
        <v>3.74</v>
      </c>
    </row>
    <row r="325" spans="2:6">
      <c r="B325" s="2" t="s">
        <v>6</v>
      </c>
      <c r="C325" s="3">
        <f>MEDIAN(C321:C324)</f>
        <v>9.0150000000000006</v>
      </c>
      <c r="D325" s="3">
        <f>MEDIAN(D321:D324)</f>
        <v>7.73</v>
      </c>
      <c r="E325" s="3">
        <f>MEDIAN(E321:E324)</f>
        <v>7.33</v>
      </c>
      <c r="F325" s="3">
        <f>MEDIAN(F321:F324)</f>
        <v>3.41</v>
      </c>
    </row>
    <row r="329" spans="2:6">
      <c r="B329" s="2" t="s">
        <v>1</v>
      </c>
      <c r="C329" s="3" t="s">
        <v>52</v>
      </c>
      <c r="D329" s="21" t="s">
        <v>53</v>
      </c>
      <c r="E329" s="3" t="s">
        <v>54</v>
      </c>
      <c r="F329" s="3" t="s">
        <v>55</v>
      </c>
    </row>
    <row r="330" spans="2:6">
      <c r="B330" s="2">
        <v>2</v>
      </c>
      <c r="C330" s="3">
        <f>C310</f>
        <v>11.074999999999999</v>
      </c>
      <c r="D330" s="3">
        <f>D310</f>
        <v>10.69</v>
      </c>
      <c r="E330" s="3">
        <f>E310</f>
        <v>5.875</v>
      </c>
      <c r="F330" s="3">
        <f>F310</f>
        <v>3.4649999999999999</v>
      </c>
    </row>
    <row r="331" spans="2:6">
      <c r="B331" s="2">
        <v>4</v>
      </c>
      <c r="C331" s="3">
        <f>C315</f>
        <v>7.5500000000000007</v>
      </c>
      <c r="D331" s="3">
        <f>D315</f>
        <v>7.5949999999999998</v>
      </c>
      <c r="E331" s="3">
        <f>E315</f>
        <v>6.8450000000000006</v>
      </c>
      <c r="F331" s="3">
        <f>F315</f>
        <v>4.59</v>
      </c>
    </row>
    <row r="332" spans="2:6">
      <c r="B332" s="2">
        <v>8</v>
      </c>
      <c r="C332" s="3">
        <f>C320</f>
        <v>7.01</v>
      </c>
      <c r="D332" s="3">
        <f>D320</f>
        <v>6.49</v>
      </c>
      <c r="E332" s="3">
        <f>E320</f>
        <v>5.875</v>
      </c>
      <c r="F332" s="3">
        <f>F321</f>
        <v>2.98</v>
      </c>
    </row>
    <row r="333" spans="2:6">
      <c r="B333" s="3">
        <v>12</v>
      </c>
      <c r="C333" s="3">
        <f>C325</f>
        <v>9.0150000000000006</v>
      </c>
      <c r="D333" s="3">
        <f>D325</f>
        <v>7.73</v>
      </c>
      <c r="E333" s="3">
        <f>E325</f>
        <v>7.33</v>
      </c>
      <c r="F333" s="3">
        <f>F325</f>
        <v>3.41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B42C-6F8A-41BE-9E9B-F3A4880A494D}">
  <dimension ref="A1:E76"/>
  <sheetViews>
    <sheetView workbookViewId="0">
      <selection activeCell="B3" sqref="A1:E76"/>
    </sheetView>
  </sheetViews>
  <sheetFormatPr defaultRowHeight="15"/>
  <cols>
    <col min="1" max="1" width="7.42578125" bestFit="1" customWidth="1"/>
    <col min="2" max="2" width="12.28515625" bestFit="1" customWidth="1"/>
    <col min="3" max="3" width="15.42578125" bestFit="1" customWidth="1"/>
    <col min="4" max="5" width="9" bestFit="1" customWidth="1"/>
  </cols>
  <sheetData>
    <row r="1" spans="1: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>
      <c r="A2">
        <v>2017</v>
      </c>
      <c r="B2" t="s">
        <v>61</v>
      </c>
      <c r="C2" t="s">
        <v>62</v>
      </c>
      <c r="D2" s="4">
        <v>20000</v>
      </c>
      <c r="E2" s="5">
        <v>0.75</v>
      </c>
    </row>
    <row r="3" spans="1:5">
      <c r="A3">
        <v>2015</v>
      </c>
      <c r="B3" t="s">
        <v>63</v>
      </c>
      <c r="C3" t="s">
        <v>64</v>
      </c>
      <c r="D3" s="4">
        <v>3700</v>
      </c>
      <c r="E3" s="5">
        <v>0.22</v>
      </c>
    </row>
    <row r="4" spans="1:5">
      <c r="A4">
        <v>2017</v>
      </c>
      <c r="B4" t="s">
        <v>63</v>
      </c>
      <c r="C4" t="s">
        <v>65</v>
      </c>
      <c r="D4" s="4">
        <v>4000</v>
      </c>
      <c r="E4" s="5">
        <v>0.22</v>
      </c>
    </row>
    <row r="5" spans="1:5">
      <c r="A5">
        <v>2015</v>
      </c>
      <c r="B5" t="s">
        <v>63</v>
      </c>
      <c r="C5" t="s">
        <v>66</v>
      </c>
      <c r="D5" s="4">
        <v>13300</v>
      </c>
      <c r="E5" s="5">
        <v>0.56000000000000005</v>
      </c>
    </row>
    <row r="6" spans="1:5">
      <c r="A6">
        <v>2017</v>
      </c>
      <c r="B6" t="s">
        <v>63</v>
      </c>
      <c r="C6" t="s">
        <v>67</v>
      </c>
      <c r="D6" s="4">
        <v>36000</v>
      </c>
      <c r="E6" s="5">
        <v>1</v>
      </c>
    </row>
    <row r="7" spans="1:5">
      <c r="A7">
        <v>2015</v>
      </c>
      <c r="B7" t="s">
        <v>61</v>
      </c>
      <c r="C7" t="s">
        <v>68</v>
      </c>
      <c r="D7" s="4">
        <v>2300</v>
      </c>
      <c r="E7" s="5">
        <v>0.35</v>
      </c>
    </row>
    <row r="8" spans="1:5">
      <c r="A8">
        <v>2016</v>
      </c>
      <c r="B8" t="s">
        <v>63</v>
      </c>
      <c r="C8" t="s">
        <v>64</v>
      </c>
      <c r="D8" s="4">
        <v>2300</v>
      </c>
      <c r="E8" s="5">
        <v>0.28000000000000003</v>
      </c>
    </row>
    <row r="9" spans="1:5">
      <c r="A9">
        <v>2016</v>
      </c>
      <c r="B9" t="s">
        <v>61</v>
      </c>
      <c r="C9" t="s">
        <v>69</v>
      </c>
      <c r="D9" s="4">
        <v>3400</v>
      </c>
      <c r="E9" s="5">
        <v>0.36</v>
      </c>
    </row>
    <row r="10" spans="1:5">
      <c r="A10">
        <v>2016</v>
      </c>
      <c r="B10" t="s">
        <v>70</v>
      </c>
      <c r="C10" t="s">
        <v>71</v>
      </c>
      <c r="D10" s="4">
        <v>6300</v>
      </c>
      <c r="E10" s="5">
        <v>0.4</v>
      </c>
    </row>
    <row r="11" spans="1:5">
      <c r="A11">
        <v>2017</v>
      </c>
      <c r="B11" t="s">
        <v>61</v>
      </c>
      <c r="C11" t="s">
        <v>69</v>
      </c>
      <c r="D11" s="4">
        <v>5400</v>
      </c>
      <c r="E11" s="5">
        <v>0.38</v>
      </c>
    </row>
    <row r="12" spans="1:5">
      <c r="A12">
        <v>2016</v>
      </c>
      <c r="B12" t="s">
        <v>72</v>
      </c>
      <c r="C12" t="s">
        <v>73</v>
      </c>
      <c r="D12" s="4">
        <v>17000</v>
      </c>
      <c r="E12" s="5">
        <v>0.9</v>
      </c>
    </row>
    <row r="13" spans="1:5">
      <c r="A13">
        <v>2016</v>
      </c>
      <c r="B13" t="s">
        <v>72</v>
      </c>
      <c r="C13" t="s">
        <v>74</v>
      </c>
      <c r="D13" s="4">
        <v>21600</v>
      </c>
      <c r="E13" s="5">
        <v>0.9</v>
      </c>
    </row>
    <row r="14" spans="1:5">
      <c r="A14">
        <v>2016</v>
      </c>
      <c r="B14" t="s">
        <v>72</v>
      </c>
      <c r="C14" t="s">
        <v>75</v>
      </c>
      <c r="D14" s="4">
        <v>29800</v>
      </c>
      <c r="E14" s="5">
        <v>0.9</v>
      </c>
    </row>
    <row r="15" spans="1:5">
      <c r="A15">
        <v>2016</v>
      </c>
      <c r="B15" t="s">
        <v>61</v>
      </c>
      <c r="C15" t="s">
        <v>76</v>
      </c>
      <c r="D15" s="4">
        <v>1000</v>
      </c>
      <c r="E15" s="5">
        <v>0.23</v>
      </c>
    </row>
    <row r="16" spans="1:5">
      <c r="A16">
        <v>2015</v>
      </c>
      <c r="B16" t="s">
        <v>63</v>
      </c>
      <c r="C16" t="s">
        <v>77</v>
      </c>
      <c r="D16" s="4">
        <v>6700</v>
      </c>
      <c r="E16" s="5">
        <v>0.05</v>
      </c>
    </row>
    <row r="17" spans="1:5">
      <c r="A17">
        <v>2017</v>
      </c>
      <c r="B17" t="s">
        <v>61</v>
      </c>
      <c r="C17" t="s">
        <v>76</v>
      </c>
      <c r="D17" s="4">
        <v>600</v>
      </c>
      <c r="E17" s="5">
        <v>0.27</v>
      </c>
    </row>
    <row r="18" spans="1:5">
      <c r="A18">
        <v>2015</v>
      </c>
      <c r="B18" t="s">
        <v>70</v>
      </c>
      <c r="C18" t="s">
        <v>78</v>
      </c>
      <c r="D18" s="4">
        <v>3500</v>
      </c>
      <c r="E18" s="5">
        <v>0.5</v>
      </c>
    </row>
    <row r="19" spans="1:5">
      <c r="A19">
        <v>2017</v>
      </c>
      <c r="B19" t="s">
        <v>63</v>
      </c>
      <c r="C19" t="s">
        <v>77</v>
      </c>
      <c r="D19" s="4">
        <v>7500</v>
      </c>
      <c r="E19" s="5">
        <v>0.4</v>
      </c>
    </row>
    <row r="20" spans="1:5">
      <c r="A20">
        <v>2017</v>
      </c>
      <c r="B20" t="s">
        <v>72</v>
      </c>
      <c r="C20" t="s">
        <v>79</v>
      </c>
      <c r="D20" s="4">
        <v>63700</v>
      </c>
      <c r="E20" s="5">
        <v>0.9</v>
      </c>
    </row>
    <row r="21" spans="1:5">
      <c r="A21">
        <v>2017</v>
      </c>
      <c r="B21" t="s">
        <v>70</v>
      </c>
      <c r="C21" t="s">
        <v>80</v>
      </c>
      <c r="D21" s="4">
        <v>9300</v>
      </c>
      <c r="E21" s="5">
        <v>0.6</v>
      </c>
    </row>
    <row r="22" spans="1:5">
      <c r="A22">
        <v>2017</v>
      </c>
      <c r="B22" t="s">
        <v>70</v>
      </c>
      <c r="C22" t="s">
        <v>71</v>
      </c>
      <c r="D22" s="4">
        <v>8500</v>
      </c>
      <c r="E22" s="5">
        <v>0.46</v>
      </c>
    </row>
    <row r="23" spans="1:5">
      <c r="A23">
        <v>2017</v>
      </c>
      <c r="B23" t="s">
        <v>72</v>
      </c>
      <c r="C23" t="s">
        <v>81</v>
      </c>
      <c r="D23" s="4">
        <v>33700</v>
      </c>
      <c r="E23" s="5">
        <v>0.92</v>
      </c>
    </row>
    <row r="24" spans="1:5">
      <c r="A24">
        <v>2017</v>
      </c>
      <c r="B24" t="s">
        <v>63</v>
      </c>
      <c r="C24" t="s">
        <v>82</v>
      </c>
      <c r="D24" s="4">
        <v>600</v>
      </c>
      <c r="E24" s="5">
        <v>0.15</v>
      </c>
    </row>
    <row r="25" spans="1:5">
      <c r="A25">
        <v>2015</v>
      </c>
      <c r="B25" t="s">
        <v>70</v>
      </c>
      <c r="C25" t="s">
        <v>71</v>
      </c>
      <c r="D25" s="4">
        <v>3100</v>
      </c>
      <c r="E25" s="5">
        <v>0.35</v>
      </c>
    </row>
    <row r="26" spans="1:5">
      <c r="A26">
        <v>2017</v>
      </c>
      <c r="B26" t="s">
        <v>72</v>
      </c>
      <c r="C26" t="s">
        <v>83</v>
      </c>
      <c r="D26" s="4">
        <v>30700</v>
      </c>
      <c r="E26" s="5">
        <v>0.95</v>
      </c>
    </row>
    <row r="27" spans="1:5">
      <c r="A27">
        <v>2016</v>
      </c>
      <c r="B27" t="s">
        <v>72</v>
      </c>
      <c r="C27" t="s">
        <v>83</v>
      </c>
      <c r="D27" s="4">
        <v>16400</v>
      </c>
      <c r="E27" s="5">
        <v>0.8</v>
      </c>
    </row>
    <row r="28" spans="1:5">
      <c r="A28">
        <v>2016</v>
      </c>
      <c r="B28" t="s">
        <v>72</v>
      </c>
      <c r="C28" t="s">
        <v>81</v>
      </c>
      <c r="D28" s="4">
        <v>22100</v>
      </c>
      <c r="E28" s="5">
        <v>0.9</v>
      </c>
    </row>
    <row r="29" spans="1:5">
      <c r="A29">
        <v>2017</v>
      </c>
      <c r="B29" t="s">
        <v>72</v>
      </c>
      <c r="C29" t="s">
        <v>73</v>
      </c>
      <c r="D29" s="4">
        <v>34000</v>
      </c>
      <c r="E29" s="5">
        <v>0.95</v>
      </c>
    </row>
    <row r="30" spans="1:5">
      <c r="A30">
        <v>2015</v>
      </c>
      <c r="B30" t="s">
        <v>72</v>
      </c>
      <c r="C30" t="s">
        <v>83</v>
      </c>
      <c r="D30" s="4">
        <v>700</v>
      </c>
      <c r="E30" s="5">
        <v>0.1</v>
      </c>
    </row>
    <row r="31" spans="1:5">
      <c r="A31">
        <v>2015</v>
      </c>
      <c r="B31" t="s">
        <v>63</v>
      </c>
      <c r="C31" t="s">
        <v>67</v>
      </c>
      <c r="D31" s="4">
        <v>3300</v>
      </c>
      <c r="E31" s="5">
        <v>0.3</v>
      </c>
    </row>
    <row r="32" spans="1:5">
      <c r="A32">
        <v>2017</v>
      </c>
      <c r="B32" t="s">
        <v>70</v>
      </c>
      <c r="C32" t="s">
        <v>78</v>
      </c>
      <c r="D32" s="4">
        <v>16900</v>
      </c>
      <c r="E32" s="5">
        <v>0.65</v>
      </c>
    </row>
    <row r="33" spans="1:5">
      <c r="A33">
        <v>2017</v>
      </c>
      <c r="B33" t="s">
        <v>72</v>
      </c>
      <c r="C33" t="s">
        <v>74</v>
      </c>
      <c r="D33" s="4">
        <v>36700</v>
      </c>
      <c r="E33" s="5">
        <v>0.9</v>
      </c>
    </row>
    <row r="34" spans="1:5">
      <c r="A34">
        <v>2015</v>
      </c>
      <c r="B34" t="s">
        <v>72</v>
      </c>
      <c r="C34" t="s">
        <v>73</v>
      </c>
      <c r="D34" s="4">
        <v>8300</v>
      </c>
      <c r="E34" s="5">
        <v>0.99</v>
      </c>
    </row>
    <row r="35" spans="1:5">
      <c r="A35">
        <v>2016</v>
      </c>
      <c r="B35" t="s">
        <v>63</v>
      </c>
      <c r="C35" t="s">
        <v>65</v>
      </c>
      <c r="D35" s="4">
        <v>2900</v>
      </c>
      <c r="E35" s="5">
        <v>0.36</v>
      </c>
    </row>
    <row r="36" spans="1:5">
      <c r="A36">
        <v>2015</v>
      </c>
      <c r="B36" t="s">
        <v>72</v>
      </c>
      <c r="C36" t="s">
        <v>79</v>
      </c>
      <c r="D36" s="4">
        <v>8700</v>
      </c>
      <c r="E36" s="5">
        <v>0.9</v>
      </c>
    </row>
    <row r="37" spans="1:5">
      <c r="A37">
        <v>2017</v>
      </c>
      <c r="B37" t="s">
        <v>72</v>
      </c>
      <c r="C37" t="s">
        <v>75</v>
      </c>
      <c r="D37" s="4">
        <v>35000</v>
      </c>
      <c r="E37" s="5">
        <v>1</v>
      </c>
    </row>
    <row r="38" spans="1:5">
      <c r="A38">
        <v>2016</v>
      </c>
      <c r="B38" t="s">
        <v>70</v>
      </c>
      <c r="C38" t="s">
        <v>78</v>
      </c>
      <c r="D38" s="4">
        <v>8300</v>
      </c>
      <c r="E38" s="5">
        <v>0.46</v>
      </c>
    </row>
    <row r="39" spans="1:5">
      <c r="A39">
        <v>2016</v>
      </c>
      <c r="B39" t="s">
        <v>61</v>
      </c>
      <c r="C39" t="s">
        <v>84</v>
      </c>
      <c r="D39" s="4">
        <v>16700</v>
      </c>
      <c r="E39" s="5">
        <v>0.75</v>
      </c>
    </row>
    <row r="40" spans="1:5">
      <c r="A40">
        <v>2016</v>
      </c>
      <c r="B40" t="s">
        <v>70</v>
      </c>
      <c r="C40" t="s">
        <v>85</v>
      </c>
      <c r="D40" s="4">
        <v>1800</v>
      </c>
      <c r="E40" s="5">
        <v>0.15</v>
      </c>
    </row>
    <row r="41" spans="1:5">
      <c r="A41">
        <v>2017</v>
      </c>
      <c r="B41" t="s">
        <v>63</v>
      </c>
      <c r="C41" t="s">
        <v>64</v>
      </c>
      <c r="D41" s="4">
        <v>3700</v>
      </c>
      <c r="E41" s="5">
        <v>0.48</v>
      </c>
    </row>
    <row r="42" spans="1:5">
      <c r="A42">
        <v>2016</v>
      </c>
      <c r="B42" t="s">
        <v>63</v>
      </c>
      <c r="C42" t="s">
        <v>66</v>
      </c>
      <c r="D42" s="4">
        <v>12000</v>
      </c>
      <c r="E42" s="5">
        <v>0.66</v>
      </c>
    </row>
    <row r="43" spans="1:5">
      <c r="A43">
        <v>2015</v>
      </c>
      <c r="B43" t="s">
        <v>72</v>
      </c>
      <c r="C43" t="s">
        <v>75</v>
      </c>
      <c r="D43" s="4">
        <v>10000</v>
      </c>
      <c r="E43" s="5">
        <v>0.85</v>
      </c>
    </row>
    <row r="44" spans="1:5">
      <c r="A44">
        <v>2015</v>
      </c>
      <c r="B44" t="s">
        <v>61</v>
      </c>
      <c r="C44" t="s">
        <v>76</v>
      </c>
      <c r="D44" s="4">
        <v>500</v>
      </c>
      <c r="E44" s="5">
        <v>0.35</v>
      </c>
    </row>
    <row r="45" spans="1:5">
      <c r="A45">
        <v>2017</v>
      </c>
      <c r="B45" t="s">
        <v>61</v>
      </c>
      <c r="C45" t="s">
        <v>84</v>
      </c>
      <c r="D45" s="4">
        <v>21800</v>
      </c>
      <c r="E45" s="5">
        <v>0.96</v>
      </c>
    </row>
    <row r="46" spans="1:5">
      <c r="A46">
        <v>2016</v>
      </c>
      <c r="B46" t="s">
        <v>61</v>
      </c>
      <c r="C46" t="s">
        <v>62</v>
      </c>
      <c r="D46" s="4">
        <v>16400</v>
      </c>
      <c r="E46" s="5">
        <v>0.7</v>
      </c>
    </row>
    <row r="47" spans="1:5">
      <c r="A47">
        <v>2016</v>
      </c>
      <c r="B47" t="s">
        <v>63</v>
      </c>
      <c r="C47" t="s">
        <v>82</v>
      </c>
      <c r="D47" s="4">
        <v>400</v>
      </c>
      <c r="E47" s="5">
        <v>0.2</v>
      </c>
    </row>
    <row r="48" spans="1:5">
      <c r="A48">
        <v>2015</v>
      </c>
      <c r="B48" t="s">
        <v>63</v>
      </c>
      <c r="C48" t="s">
        <v>86</v>
      </c>
      <c r="D48" s="4">
        <v>3300</v>
      </c>
      <c r="E48" s="5">
        <v>0.36</v>
      </c>
    </row>
    <row r="49" spans="1:5">
      <c r="A49">
        <v>2017</v>
      </c>
      <c r="B49" t="s">
        <v>61</v>
      </c>
      <c r="C49" t="s">
        <v>68</v>
      </c>
      <c r="D49" s="4">
        <v>5000</v>
      </c>
      <c r="E49" s="5">
        <v>0.35</v>
      </c>
    </row>
    <row r="50" spans="1:5">
      <c r="A50">
        <v>2016</v>
      </c>
      <c r="B50" t="s">
        <v>61</v>
      </c>
      <c r="C50" t="s">
        <v>68</v>
      </c>
      <c r="D50" s="4">
        <v>3300</v>
      </c>
      <c r="E50" s="5">
        <v>0.38</v>
      </c>
    </row>
    <row r="51" spans="1:5">
      <c r="A51">
        <v>2015</v>
      </c>
      <c r="B51" t="s">
        <v>61</v>
      </c>
      <c r="C51" t="s">
        <v>87</v>
      </c>
      <c r="D51" s="4">
        <v>800</v>
      </c>
      <c r="E51" s="5">
        <v>0.36</v>
      </c>
    </row>
    <row r="52" spans="1:5">
      <c r="A52">
        <v>2016</v>
      </c>
      <c r="B52" t="s">
        <v>63</v>
      </c>
      <c r="C52" t="s">
        <v>88</v>
      </c>
      <c r="D52" s="4">
        <v>15600</v>
      </c>
      <c r="E52" s="5">
        <v>0.65</v>
      </c>
    </row>
    <row r="53" spans="1:5">
      <c r="A53">
        <v>2016</v>
      </c>
      <c r="B53" t="s">
        <v>61</v>
      </c>
      <c r="C53" t="s">
        <v>87</v>
      </c>
      <c r="D53" s="4">
        <v>1500</v>
      </c>
      <c r="E53" s="5">
        <v>0.17</v>
      </c>
    </row>
    <row r="54" spans="1:5">
      <c r="A54">
        <v>2017</v>
      </c>
      <c r="B54" t="s">
        <v>61</v>
      </c>
      <c r="C54" t="s">
        <v>87</v>
      </c>
      <c r="D54" s="4">
        <v>6200</v>
      </c>
      <c r="E54" s="5">
        <v>0.38</v>
      </c>
    </row>
    <row r="55" spans="1:5">
      <c r="A55">
        <v>2017</v>
      </c>
      <c r="B55" t="s">
        <v>63</v>
      </c>
      <c r="C55" t="s">
        <v>88</v>
      </c>
      <c r="D55" s="4">
        <v>27000</v>
      </c>
      <c r="E55" s="5">
        <v>0.88</v>
      </c>
    </row>
    <row r="56" spans="1:5">
      <c r="A56">
        <v>2016</v>
      </c>
      <c r="B56" t="s">
        <v>61</v>
      </c>
      <c r="C56" t="s">
        <v>89</v>
      </c>
      <c r="D56" s="4">
        <v>2800</v>
      </c>
      <c r="E56" s="5">
        <v>0.38</v>
      </c>
    </row>
    <row r="57" spans="1:5">
      <c r="A57">
        <v>2016</v>
      </c>
      <c r="B57" t="s">
        <v>70</v>
      </c>
      <c r="C57" t="s">
        <v>80</v>
      </c>
      <c r="D57" s="4">
        <v>6700</v>
      </c>
      <c r="E57" s="5">
        <v>0.46</v>
      </c>
    </row>
    <row r="58" spans="1:5">
      <c r="A58">
        <v>2015</v>
      </c>
      <c r="B58" t="s">
        <v>63</v>
      </c>
      <c r="C58" t="s">
        <v>88</v>
      </c>
      <c r="D58" s="4">
        <v>13300</v>
      </c>
      <c r="E58" s="5">
        <v>0.5</v>
      </c>
    </row>
    <row r="59" spans="1:5">
      <c r="A59">
        <v>2016</v>
      </c>
      <c r="B59" t="s">
        <v>72</v>
      </c>
      <c r="C59" t="s">
        <v>79</v>
      </c>
      <c r="D59" s="4">
        <v>13800</v>
      </c>
      <c r="E59" s="5">
        <v>0.85</v>
      </c>
    </row>
    <row r="60" spans="1:5">
      <c r="A60">
        <v>2017</v>
      </c>
      <c r="B60" t="s">
        <v>63</v>
      </c>
      <c r="C60" t="s">
        <v>86</v>
      </c>
      <c r="D60" s="4">
        <v>2400</v>
      </c>
      <c r="E60" s="5">
        <v>0.35</v>
      </c>
    </row>
    <row r="61" spans="1:5">
      <c r="A61">
        <v>2015</v>
      </c>
      <c r="B61" t="s">
        <v>72</v>
      </c>
      <c r="C61" t="s">
        <v>81</v>
      </c>
      <c r="D61" s="4">
        <v>300</v>
      </c>
      <c r="E61" s="5">
        <v>0.05</v>
      </c>
    </row>
    <row r="62" spans="1:5">
      <c r="A62">
        <v>2015</v>
      </c>
      <c r="B62" t="s">
        <v>61</v>
      </c>
      <c r="C62" t="s">
        <v>89</v>
      </c>
      <c r="D62" s="4">
        <v>2100</v>
      </c>
      <c r="E62" s="5">
        <v>0.49</v>
      </c>
    </row>
    <row r="63" spans="1:5">
      <c r="A63">
        <v>2015</v>
      </c>
      <c r="B63" t="s">
        <v>61</v>
      </c>
      <c r="C63" t="s">
        <v>69</v>
      </c>
      <c r="D63" s="4">
        <v>2300</v>
      </c>
      <c r="E63" s="5">
        <v>0.34</v>
      </c>
    </row>
    <row r="64" spans="1:5">
      <c r="A64">
        <v>2015</v>
      </c>
      <c r="B64" t="s">
        <v>61</v>
      </c>
      <c r="C64" t="s">
        <v>84</v>
      </c>
      <c r="D64" s="4">
        <v>10000</v>
      </c>
      <c r="E64" s="5">
        <v>0.66</v>
      </c>
    </row>
    <row r="65" spans="1:5">
      <c r="A65">
        <v>2015</v>
      </c>
      <c r="B65" t="s">
        <v>70</v>
      </c>
      <c r="C65" t="s">
        <v>85</v>
      </c>
      <c r="D65" s="4">
        <v>500</v>
      </c>
      <c r="E65" s="5">
        <v>0.22</v>
      </c>
    </row>
    <row r="66" spans="1:5">
      <c r="A66">
        <v>2016</v>
      </c>
      <c r="B66" t="s">
        <v>63</v>
      </c>
      <c r="C66" t="s">
        <v>77</v>
      </c>
      <c r="D66" s="4">
        <v>3800</v>
      </c>
      <c r="E66" s="5">
        <v>0.48</v>
      </c>
    </row>
    <row r="67" spans="1:5">
      <c r="A67">
        <v>2015</v>
      </c>
      <c r="B67" t="s">
        <v>70</v>
      </c>
      <c r="C67" t="s">
        <v>80</v>
      </c>
      <c r="D67" s="4">
        <v>3200</v>
      </c>
      <c r="E67" s="5">
        <v>0.48</v>
      </c>
    </row>
    <row r="68" spans="1:5">
      <c r="A68">
        <v>2017</v>
      </c>
      <c r="B68" t="s">
        <v>63</v>
      </c>
      <c r="C68" t="s">
        <v>66</v>
      </c>
      <c r="D68" s="4">
        <v>23000</v>
      </c>
      <c r="E68" s="5">
        <v>1</v>
      </c>
    </row>
    <row r="69" spans="1:5">
      <c r="A69">
        <v>2015</v>
      </c>
      <c r="B69" t="s">
        <v>63</v>
      </c>
      <c r="C69" t="s">
        <v>65</v>
      </c>
      <c r="D69" s="4">
        <v>700</v>
      </c>
      <c r="E69" s="5">
        <v>0.28000000000000003</v>
      </c>
    </row>
    <row r="70" spans="1:5">
      <c r="A70">
        <v>2015</v>
      </c>
      <c r="B70" t="s">
        <v>72</v>
      </c>
      <c r="C70" t="s">
        <v>74</v>
      </c>
      <c r="D70" s="4">
        <v>1300</v>
      </c>
      <c r="E70" s="5">
        <v>0.9</v>
      </c>
    </row>
    <row r="71" spans="1:5">
      <c r="A71">
        <v>2016</v>
      </c>
      <c r="B71" t="s">
        <v>63</v>
      </c>
      <c r="C71" t="s">
        <v>86</v>
      </c>
      <c r="D71" s="4">
        <v>1300</v>
      </c>
      <c r="E71" s="5">
        <v>0.25</v>
      </c>
    </row>
    <row r="72" spans="1:5">
      <c r="A72">
        <v>2016</v>
      </c>
      <c r="B72" t="s">
        <v>63</v>
      </c>
      <c r="C72" t="s">
        <v>67</v>
      </c>
      <c r="D72" s="4">
        <v>22100</v>
      </c>
      <c r="E72" s="5">
        <v>0.99</v>
      </c>
    </row>
    <row r="73" spans="1:5">
      <c r="A73">
        <v>2017</v>
      </c>
      <c r="B73" t="s">
        <v>61</v>
      </c>
      <c r="C73" t="s">
        <v>89</v>
      </c>
      <c r="D73" s="4">
        <v>3100</v>
      </c>
      <c r="E73" s="5">
        <v>0.42</v>
      </c>
    </row>
    <row r="74" spans="1:5">
      <c r="A74">
        <v>2015</v>
      </c>
      <c r="B74" t="s">
        <v>63</v>
      </c>
      <c r="C74" t="s">
        <v>82</v>
      </c>
      <c r="D74" s="4">
        <v>500</v>
      </c>
      <c r="E74" s="5">
        <v>0.5</v>
      </c>
    </row>
    <row r="75" spans="1:5">
      <c r="A75">
        <v>2017</v>
      </c>
      <c r="B75" t="s">
        <v>70</v>
      </c>
      <c r="C75" t="s">
        <v>85</v>
      </c>
      <c r="D75" s="4">
        <v>3100</v>
      </c>
      <c r="E75" s="5">
        <v>0.22</v>
      </c>
    </row>
    <row r="76" spans="1:5">
      <c r="A76">
        <v>2015</v>
      </c>
      <c r="B76" t="s">
        <v>61</v>
      </c>
      <c r="C76" t="s">
        <v>62</v>
      </c>
      <c r="D76" s="4">
        <v>8700</v>
      </c>
      <c r="E76" s="5">
        <v>0.92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BF91-E5DE-4706-BFA5-E086BB4CB77D}">
  <dimension ref="A2:B28"/>
  <sheetViews>
    <sheetView workbookViewId="0">
      <selection activeCell="G19" sqref="G19"/>
    </sheetView>
  </sheetViews>
  <sheetFormatPr defaultRowHeight="15"/>
  <cols>
    <col min="1" max="1" width="15.42578125" bestFit="1" customWidth="1"/>
    <col min="2" max="2" width="12.5703125" bestFit="1" customWidth="1"/>
  </cols>
  <sheetData>
    <row r="2" spans="1:2">
      <c r="A2" s="6" t="s">
        <v>90</v>
      </c>
      <c r="B2" t="s">
        <v>91</v>
      </c>
    </row>
    <row r="3" spans="1:2">
      <c r="A3" s="7" t="s">
        <v>79</v>
      </c>
      <c r="B3" s="4">
        <v>86200</v>
      </c>
    </row>
    <row r="4" spans="1:2">
      <c r="A4" s="7" t="s">
        <v>75</v>
      </c>
      <c r="B4" s="4">
        <v>74800</v>
      </c>
    </row>
    <row r="5" spans="1:2">
      <c r="A5" s="7" t="s">
        <v>67</v>
      </c>
      <c r="B5" s="4">
        <v>61400</v>
      </c>
    </row>
    <row r="6" spans="1:2">
      <c r="A6" s="7" t="s">
        <v>74</v>
      </c>
      <c r="B6" s="4">
        <v>59600</v>
      </c>
    </row>
    <row r="7" spans="1:2">
      <c r="A7" s="7" t="s">
        <v>73</v>
      </c>
      <c r="B7" s="4">
        <v>59300</v>
      </c>
    </row>
    <row r="8" spans="1:2">
      <c r="A8" s="7" t="s">
        <v>81</v>
      </c>
      <c r="B8" s="4">
        <v>56100</v>
      </c>
    </row>
    <row r="9" spans="1:2">
      <c r="A9" s="7" t="s">
        <v>88</v>
      </c>
      <c r="B9" s="4">
        <v>55900</v>
      </c>
    </row>
    <row r="10" spans="1:2">
      <c r="A10" s="7" t="s">
        <v>84</v>
      </c>
      <c r="B10" s="4">
        <v>48500</v>
      </c>
    </row>
    <row r="11" spans="1:2">
      <c r="A11" s="7" t="s">
        <v>66</v>
      </c>
      <c r="B11" s="4">
        <v>48300</v>
      </c>
    </row>
    <row r="12" spans="1:2">
      <c r="A12" s="7" t="s">
        <v>83</v>
      </c>
      <c r="B12" s="4">
        <v>47800</v>
      </c>
    </row>
    <row r="13" spans="1:2">
      <c r="A13" s="7" t="s">
        <v>62</v>
      </c>
      <c r="B13" s="4">
        <v>45100</v>
      </c>
    </row>
    <row r="14" spans="1:2">
      <c r="A14" s="7" t="s">
        <v>78</v>
      </c>
      <c r="B14" s="4">
        <v>28700</v>
      </c>
    </row>
    <row r="15" spans="1:2">
      <c r="A15" s="7" t="s">
        <v>80</v>
      </c>
      <c r="B15" s="4">
        <v>19200</v>
      </c>
    </row>
    <row r="16" spans="1:2">
      <c r="A16" s="7" t="s">
        <v>77</v>
      </c>
      <c r="B16" s="4">
        <v>18000</v>
      </c>
    </row>
    <row r="17" spans="1:2">
      <c r="A17" s="7" t="s">
        <v>71</v>
      </c>
      <c r="B17" s="4">
        <v>17900</v>
      </c>
    </row>
    <row r="18" spans="1:2">
      <c r="A18" s="7" t="s">
        <v>69</v>
      </c>
      <c r="B18" s="4">
        <v>11100</v>
      </c>
    </row>
    <row r="19" spans="1:2">
      <c r="A19" s="7" t="s">
        <v>68</v>
      </c>
      <c r="B19" s="4">
        <v>10600</v>
      </c>
    </row>
    <row r="20" spans="1:2">
      <c r="A20" s="7" t="s">
        <v>64</v>
      </c>
      <c r="B20" s="4">
        <v>9700</v>
      </c>
    </row>
    <row r="21" spans="1:2">
      <c r="A21" s="7" t="s">
        <v>87</v>
      </c>
      <c r="B21" s="4">
        <v>8500</v>
      </c>
    </row>
    <row r="22" spans="1:2">
      <c r="A22" s="7" t="s">
        <v>89</v>
      </c>
      <c r="B22" s="4">
        <v>8000</v>
      </c>
    </row>
    <row r="23" spans="1:2">
      <c r="A23" s="7" t="s">
        <v>65</v>
      </c>
      <c r="B23" s="4">
        <v>7600</v>
      </c>
    </row>
    <row r="24" spans="1:2">
      <c r="A24" s="7" t="s">
        <v>86</v>
      </c>
      <c r="B24" s="4">
        <v>7000</v>
      </c>
    </row>
    <row r="25" spans="1:2">
      <c r="A25" s="7" t="s">
        <v>85</v>
      </c>
      <c r="B25" s="4">
        <v>5400</v>
      </c>
    </row>
    <row r="26" spans="1:2">
      <c r="A26" s="7" t="s">
        <v>76</v>
      </c>
      <c r="B26" s="4">
        <v>2100</v>
      </c>
    </row>
    <row r="27" spans="1:2">
      <c r="A27" s="7" t="s">
        <v>82</v>
      </c>
      <c r="B27" s="4">
        <v>1500</v>
      </c>
    </row>
    <row r="28" spans="1:2">
      <c r="A28" s="7" t="s">
        <v>92</v>
      </c>
      <c r="B28" s="4">
        <v>798300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2025-10-09T07:25:07Z</dcterms:created>
  <dcterms:modified xsi:type="dcterms:W3CDTF">2025-10-16T10:13:11Z</dcterms:modified>
  <cp:category/>
  <cp:contentStatus/>
</cp:coreProperties>
</file>